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thomasbecker/Desktop/Hausverwaltung WEG/HW25/"/>
    </mc:Choice>
  </mc:AlternateContent>
  <xr:revisionPtr revIDLastSave="0" documentId="13_ncr:1_{CCA66AB5-E3DC-9C4E-8757-14C22ADEBC43}" xr6:coauthVersionLast="47" xr6:coauthVersionMax="47" xr10:uidLastSave="{00000000-0000-0000-0000-000000000000}"/>
  <bookViews>
    <workbookView xWindow="600" yWindow="1340" windowWidth="28800" windowHeight="15980" tabRatio="891" activeTab="1" xr2:uid="{00000000-000D-0000-FFFF-FFFF00000000}"/>
  </bookViews>
  <sheets>
    <sheet name="Heizkörperfaktoren" sheetId="8" r:id="rId1"/>
    <sheet name="Hauptabrechnung" sheetId="1" r:id="rId2"/>
    <sheet name="Zahlungen 2025" sheetId="24" r:id="rId3"/>
    <sheet name="Becker" sheetId="2" r:id="rId4"/>
    <sheet name="W107 Becker" sheetId="17" r:id="rId5"/>
    <sheet name="Ablesung Becker" sheetId="9" r:id="rId6"/>
    <sheet name="Drost" sheetId="32" r:id="rId7"/>
    <sheet name="W207 Drost" sheetId="31" r:id="rId8"/>
    <sheet name="Ablesung Drost" sheetId="33" r:id="rId9"/>
    <sheet name="Bernsee" sheetId="4" r:id="rId10"/>
    <sheet name="W307 Bernsee" sheetId="19" r:id="rId11"/>
    <sheet name="Ablesung Bernsee" sheetId="11" r:id="rId12"/>
    <sheet name="Ballestriero" sheetId="5" r:id="rId13"/>
    <sheet name="W407 Ballestriero" sheetId="20" r:id="rId14"/>
    <sheet name="Ablesung Ballestriero" sheetId="12" r:id="rId15"/>
    <sheet name="Weber" sheetId="27" r:id="rId16"/>
    <sheet name="W507 Weber" sheetId="26" r:id="rId17"/>
    <sheet name="Ablesung Weber" sheetId="25" r:id="rId18"/>
    <sheet name="Gneiting" sheetId="7" r:id="rId19"/>
    <sheet name="W607 Gneiting" sheetId="23" r:id="rId20"/>
    <sheet name="Ablesung Gneiting" sheetId="14" r:id="rId21"/>
    <sheet name="Weiß-Fudisch" sheetId="29" r:id="rId22"/>
    <sheet name="Tabelle1" sheetId="30" r:id="rId23"/>
  </sheets>
  <externalReferences>
    <externalReference r:id="rId24"/>
  </externalReferences>
  <definedNames>
    <definedName name="_xlnm.Print_Area" localSheetId="12">Ballestriero!$A$1:$H$38</definedName>
    <definedName name="_xlnm.Print_Area" localSheetId="3">Becker!$A$1:$H$37</definedName>
    <definedName name="_xlnm.Print_Area" localSheetId="9">Bernsee!$A$1:$H$38</definedName>
    <definedName name="_xlnm.Print_Area" localSheetId="6">Drost!$A$1:$H$36</definedName>
    <definedName name="_xlnm.Print_Area" localSheetId="18">Gneiting!$A$1:$H$44</definedName>
    <definedName name="_xlnm.Print_Area" localSheetId="1">Hauptabrechnung!$A$1:$F$56</definedName>
    <definedName name="_xlnm.Print_Area" localSheetId="4">'W107 Becker'!$A$1:$G$48</definedName>
    <definedName name="_xlnm.Print_Area" localSheetId="7">'W207 Drost'!$A$1:$G$47</definedName>
    <definedName name="_xlnm.Print_Area" localSheetId="10">'W307 Bernsee'!$A$1:$G$47</definedName>
    <definedName name="_xlnm.Print_Area" localSheetId="13">'W407 Ballestriero'!$A$1:$G$47</definedName>
    <definedName name="_xlnm.Print_Area" localSheetId="16">'W507 Weber'!$A$1:$G$47</definedName>
    <definedName name="_xlnm.Print_Area" localSheetId="19">'W607 Gneiting'!$A$1:$G$49</definedName>
    <definedName name="_xlnm.Print_Area" localSheetId="15">Weber!$A$1:$H$37</definedName>
    <definedName name="_xlnm.Print_Area" localSheetId="2">'Zahlungen 2025'!$A$1:$K$42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3" i="20" l="1"/>
  <c r="G23" i="23"/>
  <c r="B38" i="1"/>
  <c r="B37" i="1"/>
  <c r="B13" i="1"/>
  <c r="F17" i="1"/>
  <c r="H14" i="7"/>
  <c r="H14" i="27"/>
  <c r="H14" i="5"/>
  <c r="H14" i="4"/>
  <c r="H14" i="2"/>
  <c r="G42" i="24"/>
  <c r="B31" i="24"/>
  <c r="E19" i="24" l="1"/>
  <c r="F19" i="24"/>
  <c r="G19" i="24"/>
  <c r="G40" i="23" s="1"/>
  <c r="I19" i="24"/>
  <c r="C10" i="23" s="1"/>
  <c r="J19" i="24"/>
  <c r="C35" i="23" s="1"/>
  <c r="D19" i="24"/>
  <c r="F38" i="1"/>
  <c r="F29" i="32"/>
  <c r="F34" i="32"/>
  <c r="F33" i="32"/>
  <c r="I51" i="1"/>
  <c r="I47" i="1"/>
  <c r="I42" i="24"/>
  <c r="H6" i="24"/>
  <c r="H7" i="24"/>
  <c r="H8" i="24"/>
  <c r="H9" i="24"/>
  <c r="H10" i="24"/>
  <c r="H11" i="24"/>
  <c r="H12" i="24"/>
  <c r="H13" i="24"/>
  <c r="H14" i="24"/>
  <c r="C19" i="24"/>
  <c r="G40" i="31" s="1"/>
  <c r="H4" i="24"/>
  <c r="H5" i="24"/>
  <c r="H3" i="24"/>
  <c r="H19" i="24" l="1"/>
  <c r="C10" i="17"/>
  <c r="G10" i="17" s="1"/>
  <c r="C35" i="17"/>
  <c r="C10" i="31"/>
  <c r="G10" i="31" s="1"/>
  <c r="C35" i="31"/>
  <c r="C10" i="19"/>
  <c r="C35" i="19"/>
  <c r="C10" i="20"/>
  <c r="C35" i="20"/>
  <c r="C10" i="26"/>
  <c r="C35" i="26"/>
  <c r="B42" i="24"/>
  <c r="C25" i="29" l="1"/>
  <c r="E42" i="24"/>
  <c r="C15" i="29"/>
  <c r="G34" i="32"/>
  <c r="G33" i="32"/>
  <c r="G29" i="32"/>
  <c r="G20" i="32"/>
  <c r="H20" i="32" s="1"/>
  <c r="G21" i="32"/>
  <c r="H21" i="32" s="1"/>
  <c r="G22" i="32"/>
  <c r="H22" i="32" s="1"/>
  <c r="G23" i="32"/>
  <c r="H23" i="32" s="1"/>
  <c r="G24" i="32"/>
  <c r="H24" i="32" s="1"/>
  <c r="G25" i="32"/>
  <c r="H25" i="32" s="1"/>
  <c r="G19" i="32"/>
  <c r="H19" i="32" s="1"/>
  <c r="C25" i="31"/>
  <c r="C24" i="31"/>
  <c r="C18" i="31"/>
  <c r="G18" i="31" s="1"/>
  <c r="G3" i="31"/>
  <c r="G35" i="29"/>
  <c r="G17" i="29"/>
  <c r="G9" i="29"/>
  <c r="C23" i="31" l="1"/>
  <c r="G23" i="31" s="1"/>
  <c r="H33" i="32"/>
  <c r="H29" i="32"/>
  <c r="H30" i="32" s="1"/>
  <c r="H34" i="32"/>
  <c r="H26" i="32"/>
  <c r="F5" i="32" s="1"/>
  <c r="F9" i="32" l="1"/>
  <c r="H35" i="32"/>
  <c r="F11" i="32" l="1"/>
  <c r="G35" i="2" l="1"/>
  <c r="G34" i="2"/>
  <c r="G30" i="2"/>
  <c r="F30" i="2"/>
  <c r="F34" i="2"/>
  <c r="F35" i="2"/>
  <c r="C26" i="29" l="1"/>
  <c r="C24" i="29" s="1"/>
  <c r="G24" i="29" s="1"/>
  <c r="G2" i="29"/>
  <c r="G36" i="7" l="1"/>
  <c r="G35" i="7"/>
  <c r="G41" i="7"/>
  <c r="G40" i="7"/>
  <c r="F41" i="7" l="1"/>
  <c r="H41" i="7" s="1"/>
  <c r="F42" i="7"/>
  <c r="F40" i="7"/>
  <c r="H40" i="7" s="1"/>
  <c r="F36" i="7"/>
  <c r="F35" i="7"/>
  <c r="F35" i="27"/>
  <c r="F36" i="5"/>
  <c r="C42" i="24" l="1"/>
  <c r="H30" i="2" l="1"/>
  <c r="H34" i="2"/>
  <c r="C27" i="23" l="1"/>
  <c r="G40" i="26" l="1"/>
  <c r="H35" i="2" l="1"/>
  <c r="H36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19" i="2"/>
  <c r="H19" i="2" s="1"/>
  <c r="F34" i="27"/>
  <c r="F30" i="27"/>
  <c r="G35" i="27"/>
  <c r="H35" i="27" s="1"/>
  <c r="G34" i="27"/>
  <c r="G30" i="27"/>
  <c r="G36" i="4"/>
  <c r="G35" i="4"/>
  <c r="G31" i="4"/>
  <c r="F36" i="4"/>
  <c r="F35" i="4"/>
  <c r="F31" i="4"/>
  <c r="G21" i="4"/>
  <c r="G22" i="4"/>
  <c r="G23" i="4"/>
  <c r="G24" i="4"/>
  <c r="G25" i="4"/>
  <c r="G26" i="4"/>
  <c r="G27" i="4"/>
  <c r="G20" i="4"/>
  <c r="F35" i="5"/>
  <c r="F31" i="5"/>
  <c r="G36" i="5"/>
  <c r="H36" i="5" s="1"/>
  <c r="G35" i="5"/>
  <c r="G31" i="5"/>
  <c r="G21" i="5"/>
  <c r="G22" i="5"/>
  <c r="G23" i="5"/>
  <c r="G24" i="5"/>
  <c r="G25" i="5"/>
  <c r="G26" i="5"/>
  <c r="G27" i="5"/>
  <c r="G20" i="5"/>
  <c r="G42" i="7"/>
  <c r="H42" i="7" s="1"/>
  <c r="G21" i="7"/>
  <c r="G22" i="7"/>
  <c r="G23" i="7"/>
  <c r="G24" i="7"/>
  <c r="G25" i="7"/>
  <c r="G26" i="7"/>
  <c r="G27" i="7"/>
  <c r="G28" i="7"/>
  <c r="G29" i="7"/>
  <c r="G30" i="7"/>
  <c r="G31" i="7"/>
  <c r="G20" i="7"/>
  <c r="H34" i="27" l="1"/>
  <c r="H30" i="27"/>
  <c r="H31" i="27" s="1"/>
  <c r="H35" i="5"/>
  <c r="H31" i="5"/>
  <c r="H32" i="5" s="1"/>
  <c r="F9" i="5" s="1"/>
  <c r="H36" i="4"/>
  <c r="H35" i="4"/>
  <c r="H31" i="4"/>
  <c r="H32" i="4" s="1"/>
  <c r="B19" i="24"/>
  <c r="J23" i="24" s="1"/>
  <c r="G40" i="19"/>
  <c r="G40" i="20"/>
  <c r="D42" i="24"/>
  <c r="C15" i="17" s="1"/>
  <c r="C16" i="31"/>
  <c r="J42" i="24"/>
  <c r="C25" i="24"/>
  <c r="F42" i="24"/>
  <c r="H42" i="24"/>
  <c r="C31" i="23" s="1"/>
  <c r="G31" i="23" s="1"/>
  <c r="F8" i="1"/>
  <c r="B9" i="1" s="1"/>
  <c r="G21" i="27"/>
  <c r="H21" i="27" s="1"/>
  <c r="G22" i="27"/>
  <c r="H22" i="27" s="1"/>
  <c r="G23" i="27"/>
  <c r="H23" i="27" s="1"/>
  <c r="G24" i="27"/>
  <c r="H24" i="27" s="1"/>
  <c r="G25" i="27"/>
  <c r="H25" i="27" s="1"/>
  <c r="G26" i="27"/>
  <c r="H26" i="27" s="1"/>
  <c r="G20" i="27"/>
  <c r="H20" i="27" s="1"/>
  <c r="C26" i="26"/>
  <c r="C27" i="26"/>
  <c r="G3" i="26"/>
  <c r="B10" i="1"/>
  <c r="C25" i="1" s="1"/>
  <c r="H20" i="4"/>
  <c r="H21" i="4"/>
  <c r="H22" i="4"/>
  <c r="H23" i="4"/>
  <c r="H24" i="4"/>
  <c r="H25" i="4"/>
  <c r="H26" i="4"/>
  <c r="H27" i="4"/>
  <c r="H20" i="5"/>
  <c r="H21" i="5"/>
  <c r="H22" i="5"/>
  <c r="H23" i="5"/>
  <c r="H24" i="5"/>
  <c r="H25" i="5"/>
  <c r="H26" i="5"/>
  <c r="H27" i="5"/>
  <c r="H28" i="7"/>
  <c r="H29" i="7"/>
  <c r="H30" i="7"/>
  <c r="H31" i="7"/>
  <c r="H20" i="7"/>
  <c r="H21" i="7"/>
  <c r="H22" i="7"/>
  <c r="H23" i="7"/>
  <c r="H24" i="7"/>
  <c r="H25" i="7"/>
  <c r="H26" i="7"/>
  <c r="H27" i="7"/>
  <c r="C30" i="1"/>
  <c r="C26" i="23"/>
  <c r="C25" i="23" s="1"/>
  <c r="G25" i="23" s="1"/>
  <c r="C27" i="20"/>
  <c r="C26" i="20"/>
  <c r="C27" i="19"/>
  <c r="C26" i="19"/>
  <c r="C26" i="17"/>
  <c r="C25" i="17"/>
  <c r="G3" i="23"/>
  <c r="G3" i="20"/>
  <c r="G3" i="19"/>
  <c r="G3" i="17"/>
  <c r="F9" i="4" l="1"/>
  <c r="C20" i="31"/>
  <c r="G20" i="31" s="1"/>
  <c r="C21" i="29"/>
  <c r="G21" i="29" s="1"/>
  <c r="G40" i="17"/>
  <c r="G10" i="19"/>
  <c r="C29" i="19"/>
  <c r="G29" i="19" s="1"/>
  <c r="C27" i="31"/>
  <c r="G27" i="31" s="1"/>
  <c r="G35" i="19"/>
  <c r="G35" i="31"/>
  <c r="C30" i="31"/>
  <c r="G30" i="31" s="1"/>
  <c r="C33" i="31"/>
  <c r="G33" i="31" s="1"/>
  <c r="G29" i="23"/>
  <c r="C15" i="23"/>
  <c r="C15" i="31"/>
  <c r="C14" i="31" s="1"/>
  <c r="G14" i="31" s="1"/>
  <c r="C20" i="20"/>
  <c r="G20" i="20" s="1"/>
  <c r="C20" i="26"/>
  <c r="G20" i="26" s="1"/>
  <c r="C20" i="19"/>
  <c r="G20" i="19" s="1"/>
  <c r="C21" i="23"/>
  <c r="G21" i="23" s="1"/>
  <c r="C33" i="26"/>
  <c r="G33" i="26" s="1"/>
  <c r="C16" i="23"/>
  <c r="C15" i="26"/>
  <c r="C14" i="29"/>
  <c r="C13" i="29" s="1"/>
  <c r="G13" i="29" s="1"/>
  <c r="C16" i="19"/>
  <c r="C19" i="23"/>
  <c r="G19" i="23" s="1"/>
  <c r="C19" i="29"/>
  <c r="G19" i="29" s="1"/>
  <c r="C18" i="20"/>
  <c r="G18" i="20" s="1"/>
  <c r="C20" i="17"/>
  <c r="G20" i="17" s="1"/>
  <c r="C31" i="26"/>
  <c r="G31" i="26" s="1"/>
  <c r="F20" i="1"/>
  <c r="G33" i="20"/>
  <c r="C16" i="20"/>
  <c r="C16" i="17"/>
  <c r="C14" i="17" s="1"/>
  <c r="G14" i="17" s="1"/>
  <c r="C31" i="19"/>
  <c r="G31" i="19" s="1"/>
  <c r="C33" i="23"/>
  <c r="G33" i="23" s="1"/>
  <c r="C31" i="17"/>
  <c r="G31" i="17" s="1"/>
  <c r="C16" i="26"/>
  <c r="G35" i="17"/>
  <c r="G35" i="26"/>
  <c r="G35" i="23"/>
  <c r="G35" i="20"/>
  <c r="C18" i="26"/>
  <c r="G18" i="26" s="1"/>
  <c r="C18" i="17"/>
  <c r="G18" i="17" s="1"/>
  <c r="C31" i="20"/>
  <c r="G31" i="20" s="1"/>
  <c r="C33" i="19"/>
  <c r="G33" i="19" s="1"/>
  <c r="C15" i="19"/>
  <c r="C29" i="17"/>
  <c r="G29" i="17" s="1"/>
  <c r="C33" i="17"/>
  <c r="G33" i="17" s="1"/>
  <c r="C29" i="20"/>
  <c r="G29" i="20" s="1"/>
  <c r="C29" i="26"/>
  <c r="G29" i="26" s="1"/>
  <c r="C25" i="19"/>
  <c r="G25" i="19" s="1"/>
  <c r="C15" i="20"/>
  <c r="C25" i="20"/>
  <c r="G25" i="20" s="1"/>
  <c r="C25" i="26"/>
  <c r="G25" i="26" s="1"/>
  <c r="F9" i="27"/>
  <c r="C24" i="17"/>
  <c r="G24" i="17" s="1"/>
  <c r="H35" i="7"/>
  <c r="H36" i="7"/>
  <c r="H36" i="27"/>
  <c r="H37" i="5"/>
  <c r="F11" i="5" s="1"/>
  <c r="F11" i="2"/>
  <c r="H31" i="2"/>
  <c r="H28" i="5"/>
  <c r="F5" i="5" s="1"/>
  <c r="B25" i="1"/>
  <c r="F25" i="1" s="1"/>
  <c r="F27" i="1" s="1"/>
  <c r="B30" i="1"/>
  <c r="F30" i="1" s="1"/>
  <c r="H28" i="4"/>
  <c r="F5" i="4" s="1"/>
  <c r="H27" i="27"/>
  <c r="F5" i="27" s="1"/>
  <c r="H37" i="4"/>
  <c r="H32" i="7"/>
  <c r="F5" i="7" s="1"/>
  <c r="G10" i="23"/>
  <c r="C18" i="19"/>
  <c r="G18" i="19" s="1"/>
  <c r="F11" i="4" l="1"/>
  <c r="C14" i="23"/>
  <c r="G14" i="23" s="1"/>
  <c r="C14" i="26"/>
  <c r="G14" i="26" s="1"/>
  <c r="F9" i="2"/>
  <c r="C14" i="19"/>
  <c r="G14" i="19" s="1"/>
  <c r="C14" i="20"/>
  <c r="G14" i="20" s="1"/>
  <c r="F11" i="27"/>
  <c r="H27" i="2"/>
  <c r="H37" i="7"/>
  <c r="H43" i="7"/>
  <c r="B15" i="1" s="1"/>
  <c r="G10" i="26"/>
  <c r="G10" i="20"/>
  <c r="C5" i="4"/>
  <c r="C46" i="1"/>
  <c r="C5" i="27"/>
  <c r="C4" i="27"/>
  <c r="C4" i="7"/>
  <c r="C5" i="5"/>
  <c r="C4" i="4"/>
  <c r="C5" i="7"/>
  <c r="C4" i="5"/>
  <c r="I48" i="1" l="1"/>
  <c r="D48" i="1"/>
  <c r="I54" i="1"/>
  <c r="F9" i="7"/>
  <c r="I52" i="1"/>
  <c r="B14" i="1"/>
  <c r="D52" i="1" s="1"/>
  <c r="D9" i="32" s="1"/>
  <c r="F11" i="7"/>
  <c r="F5" i="2"/>
  <c r="E4" i="27"/>
  <c r="H4" i="27" s="1"/>
  <c r="E4" i="4"/>
  <c r="H4" i="4" s="1"/>
  <c r="E4" i="5"/>
  <c r="H4" i="5" s="1"/>
  <c r="E4" i="7"/>
  <c r="H4" i="7" s="1"/>
  <c r="C47" i="1"/>
  <c r="C4" i="32" s="1"/>
  <c r="E4" i="32" s="1"/>
  <c r="H4" i="32" s="1"/>
  <c r="C48" i="1"/>
  <c r="C5" i="32" s="1"/>
  <c r="D11" i="4" l="1"/>
  <c r="D11" i="32"/>
  <c r="D5" i="7"/>
  <c r="E5" i="7" s="1"/>
  <c r="H5" i="7" s="1"/>
  <c r="D5" i="32"/>
  <c r="E5" i="32" s="1"/>
  <c r="H5" i="32" s="1"/>
  <c r="B16" i="1"/>
  <c r="B31" i="1" s="1"/>
  <c r="C37" i="1" s="1"/>
  <c r="F37" i="1" s="1"/>
  <c r="C54" i="1" s="1"/>
  <c r="C11" i="32" s="1"/>
  <c r="D54" i="1"/>
  <c r="D57" i="1" s="1"/>
  <c r="D11" i="7"/>
  <c r="D11" i="2"/>
  <c r="D11" i="27"/>
  <c r="D11" i="5"/>
  <c r="D5" i="2"/>
  <c r="D5" i="27"/>
  <c r="E5" i="27" s="1"/>
  <c r="H5" i="27" s="1"/>
  <c r="D5" i="4"/>
  <c r="E5" i="4" s="1"/>
  <c r="H5" i="4" s="1"/>
  <c r="D5" i="5"/>
  <c r="E5" i="5" s="1"/>
  <c r="H5" i="5" s="1"/>
  <c r="C4" i="2"/>
  <c r="F47" i="1"/>
  <c r="D9" i="2"/>
  <c r="D9" i="4"/>
  <c r="D9" i="27"/>
  <c r="D9" i="5"/>
  <c r="D9" i="7"/>
  <c r="C5" i="2"/>
  <c r="F48" i="1"/>
  <c r="E11" i="32" l="1"/>
  <c r="H11" i="32" s="1"/>
  <c r="F31" i="1"/>
  <c r="F33" i="1" s="1"/>
  <c r="E5" i="2"/>
  <c r="H5" i="2" s="1"/>
  <c r="J48" i="1" s="1"/>
  <c r="E4" i="2"/>
  <c r="H4" i="2" s="1"/>
  <c r="J47" i="1" s="1"/>
  <c r="C11" i="7"/>
  <c r="E11" i="7" s="1"/>
  <c r="H11" i="7" s="1"/>
  <c r="C11" i="4"/>
  <c r="E11" i="4" s="1"/>
  <c r="H11" i="4" s="1"/>
  <c r="C11" i="27"/>
  <c r="E11" i="27" s="1"/>
  <c r="H11" i="27" s="1"/>
  <c r="C11" i="5"/>
  <c r="E11" i="5" s="1"/>
  <c r="H11" i="5" s="1"/>
  <c r="C11" i="2"/>
  <c r="E11" i="2" s="1"/>
  <c r="H11" i="2" s="1"/>
  <c r="F54" i="1"/>
  <c r="J54" i="1" l="1"/>
  <c r="C50" i="1"/>
  <c r="C57" i="1" s="1"/>
  <c r="C9" i="32"/>
  <c r="E9" i="32" s="1"/>
  <c r="H9" i="32" s="1"/>
  <c r="C8" i="32"/>
  <c r="F34" i="1"/>
  <c r="F41" i="1" s="1"/>
  <c r="C12" i="31" s="1"/>
  <c r="C37" i="31" s="1"/>
  <c r="C9" i="5"/>
  <c r="E9" i="5" s="1"/>
  <c r="H9" i="5" s="1"/>
  <c r="C8" i="27"/>
  <c r="E8" i="27" s="1"/>
  <c r="H8" i="27" s="1"/>
  <c r="C9" i="27"/>
  <c r="E9" i="27" s="1"/>
  <c r="H9" i="27" s="1"/>
  <c r="C9" i="4"/>
  <c r="E9" i="4" s="1"/>
  <c r="H9" i="4" s="1"/>
  <c r="C8" i="5"/>
  <c r="E8" i="5" s="1"/>
  <c r="H8" i="5" s="1"/>
  <c r="C8" i="4"/>
  <c r="E8" i="4" s="1"/>
  <c r="H8" i="4" s="1"/>
  <c r="C8" i="7"/>
  <c r="E8" i="7" s="1"/>
  <c r="H8" i="7" s="1"/>
  <c r="C9" i="7"/>
  <c r="E9" i="7" s="1"/>
  <c r="H9" i="7" s="1"/>
  <c r="C52" i="1" l="1"/>
  <c r="F52" i="1" s="1"/>
  <c r="C51" i="1"/>
  <c r="F51" i="1" s="1"/>
  <c r="E8" i="32"/>
  <c r="H8" i="32" s="1"/>
  <c r="H13" i="32" s="1"/>
  <c r="C13" i="32"/>
  <c r="C12" i="23"/>
  <c r="C37" i="23" s="1"/>
  <c r="C11" i="29"/>
  <c r="C29" i="29" s="1"/>
  <c r="C12" i="19"/>
  <c r="C37" i="19" s="1"/>
  <c r="C12" i="26"/>
  <c r="C37" i="26" s="1"/>
  <c r="C12" i="20"/>
  <c r="C37" i="20" s="1"/>
  <c r="C12" i="17"/>
  <c r="C37" i="17" s="1"/>
  <c r="C13" i="5"/>
  <c r="H13" i="27"/>
  <c r="G12" i="26" s="1"/>
  <c r="G37" i="26" s="1"/>
  <c r="H13" i="5"/>
  <c r="H15" i="5" s="1"/>
  <c r="H13" i="7"/>
  <c r="G11" i="29" s="1"/>
  <c r="C13" i="7"/>
  <c r="C13" i="4"/>
  <c r="C13" i="27"/>
  <c r="H13" i="4"/>
  <c r="G12" i="19" s="1"/>
  <c r="G37" i="19" s="1"/>
  <c r="C9" i="2"/>
  <c r="E9" i="2" s="1"/>
  <c r="H9" i="2" s="1"/>
  <c r="J52" i="1" s="1"/>
  <c r="H15" i="32" l="1"/>
  <c r="G12" i="31"/>
  <c r="G37" i="31" s="1"/>
  <c r="C8" i="2"/>
  <c r="E8" i="2" s="1"/>
  <c r="H8" i="2" s="1"/>
  <c r="J51" i="1" s="1"/>
  <c r="H15" i="27"/>
  <c r="G12" i="20"/>
  <c r="G37" i="20" s="1"/>
  <c r="G12" i="23"/>
  <c r="G37" i="23" s="1"/>
  <c r="H15" i="4"/>
  <c r="H15" i="7"/>
  <c r="G42" i="26"/>
  <c r="F20" i="24"/>
  <c r="D20" i="24"/>
  <c r="D21" i="24" s="1"/>
  <c r="G42" i="19"/>
  <c r="G43" i="23" l="1"/>
  <c r="G20" i="24"/>
  <c r="G21" i="24" s="1"/>
  <c r="F21" i="24"/>
  <c r="C13" i="2"/>
  <c r="G29" i="29"/>
  <c r="G38" i="29" s="1"/>
  <c r="E20" i="24"/>
  <c r="E21" i="24" s="1"/>
  <c r="H13" i="2"/>
  <c r="F57" i="1" s="1"/>
  <c r="G42" i="20" l="1"/>
  <c r="H15" i="2"/>
  <c r="G12" i="17"/>
  <c r="G37" i="17" l="1"/>
  <c r="B20" i="24" s="1"/>
  <c r="G42" i="31"/>
  <c r="C20" i="24"/>
  <c r="B21" i="24" l="1"/>
  <c r="H20" i="24"/>
  <c r="J24" i="24" s="1"/>
  <c r="J25" i="24" s="1"/>
  <c r="G42" i="17"/>
  <c r="J26" i="24" s="1"/>
  <c r="C21" i="24"/>
  <c r="H21" i="24" l="1"/>
</calcChain>
</file>

<file path=xl/sharedStrings.xml><?xml version="1.0" encoding="utf-8"?>
<sst xmlns="http://schemas.openxmlformats.org/spreadsheetml/2006/main" count="1612" uniqueCount="320">
  <si>
    <t>Datum Ablesung</t>
  </si>
  <si>
    <t>Warmwasserkosten</t>
  </si>
  <si>
    <t>________________________________________________________________</t>
  </si>
  <si>
    <t>Gesamt</t>
  </si>
  <si>
    <t>Kaltwasserkosten</t>
  </si>
  <si>
    <t>Heizkosten</t>
  </si>
  <si>
    <t>Betrag</t>
  </si>
  <si>
    <t>Summe</t>
  </si>
  <si>
    <t>Verteilung der Kosten</t>
  </si>
  <si>
    <t>30% Grundkosten</t>
  </si>
  <si>
    <t>Einheiten</t>
  </si>
  <si>
    <t>Preis je Einheit</t>
  </si>
  <si>
    <t>70% Verbrauchskosten</t>
  </si>
  <si>
    <t>Verteilerschlüssel</t>
  </si>
  <si>
    <t>Einheit</t>
  </si>
  <si>
    <t>qm</t>
  </si>
  <si>
    <t xml:space="preserve">Wohnung 1 </t>
  </si>
  <si>
    <t>Becker</t>
  </si>
  <si>
    <t>Wohnung 2</t>
  </si>
  <si>
    <t xml:space="preserve">Wohnung 4 </t>
  </si>
  <si>
    <t>Ballestriero</t>
  </si>
  <si>
    <t xml:space="preserve">Wohnung 5 </t>
  </si>
  <si>
    <t xml:space="preserve">Wohnung 6 </t>
  </si>
  <si>
    <t>Gneiting</t>
  </si>
  <si>
    <t>Differenz</t>
  </si>
  <si>
    <t>Heizkostenverteiler</t>
  </si>
  <si>
    <t>B</t>
  </si>
  <si>
    <t>Datum</t>
  </si>
  <si>
    <t>Ablesewert alt</t>
  </si>
  <si>
    <t>Ablesewert neu</t>
  </si>
  <si>
    <t>Verbrauch</t>
  </si>
  <si>
    <t>Warmwasserzähler</t>
  </si>
  <si>
    <t>Kaltwasserzähler</t>
  </si>
  <si>
    <t>02235783</t>
  </si>
  <si>
    <t>WK</t>
  </si>
  <si>
    <t>Summe:</t>
  </si>
  <si>
    <t>37032658</t>
  </si>
  <si>
    <t>37425656</t>
  </si>
  <si>
    <t>02234913</t>
  </si>
  <si>
    <t>36946730</t>
  </si>
  <si>
    <t>37425693</t>
  </si>
  <si>
    <t>02234937</t>
  </si>
  <si>
    <t>36946751</t>
  </si>
  <si>
    <t>37425639</t>
  </si>
  <si>
    <t>02234948</t>
  </si>
  <si>
    <t>36946720</t>
  </si>
  <si>
    <t>37425696</t>
  </si>
  <si>
    <t>02235011</t>
  </si>
  <si>
    <t>WC</t>
  </si>
  <si>
    <t>37425698</t>
  </si>
  <si>
    <t>37425652</t>
  </si>
  <si>
    <t>02235773</t>
  </si>
  <si>
    <t>Prüfsumme:</t>
  </si>
  <si>
    <t>Gesamtbetrag</t>
  </si>
  <si>
    <t>Heizungstyp</t>
  </si>
  <si>
    <t>Bad</t>
  </si>
  <si>
    <t>Küche</t>
  </si>
  <si>
    <t>Schlafzimmer</t>
  </si>
  <si>
    <t>Wohnen</t>
  </si>
  <si>
    <t>Kinderzimmer</t>
  </si>
  <si>
    <t>Schlafen Kind</t>
  </si>
  <si>
    <t>Flur</t>
  </si>
  <si>
    <t xml:space="preserve">Wohnung 3 </t>
  </si>
  <si>
    <t>Bernsee</t>
  </si>
  <si>
    <t>Wohnzimmer 1</t>
  </si>
  <si>
    <t>Wohnzimmer 2</t>
  </si>
  <si>
    <t>Wohnzimmer 3</t>
  </si>
  <si>
    <t>Punkte</t>
  </si>
  <si>
    <t>Kubikmeter</t>
  </si>
  <si>
    <t>Zimmer 1</t>
  </si>
  <si>
    <t>Zimmer 2</t>
  </si>
  <si>
    <t>Bad unten</t>
  </si>
  <si>
    <t>Handtuchhalter</t>
  </si>
  <si>
    <t>Arbeitszimmer</t>
  </si>
  <si>
    <t>Flur oben</t>
  </si>
  <si>
    <t>Schalfzimmer 1</t>
  </si>
  <si>
    <t>Schlafzimmer 2</t>
  </si>
  <si>
    <t>Bad oben</t>
  </si>
  <si>
    <t>Typ20 700mm</t>
  </si>
  <si>
    <t>Typ21 500mm</t>
  </si>
  <si>
    <t>Typ22 900mm</t>
  </si>
  <si>
    <t>Typ22 700mm</t>
  </si>
  <si>
    <t>Typ22 1000mm</t>
  </si>
  <si>
    <t>Typ20 900mm</t>
  </si>
  <si>
    <t>Sondertyp 1700mm</t>
  </si>
  <si>
    <t>Typ21 400mm</t>
  </si>
  <si>
    <t>Typ21 1200mm</t>
  </si>
  <si>
    <t>Typ21 800mm</t>
  </si>
  <si>
    <t>Typ21 1000mm</t>
  </si>
  <si>
    <t>Typ22 600mm</t>
  </si>
  <si>
    <t>Typ22 500mm</t>
  </si>
  <si>
    <t>Typ21 700mm</t>
  </si>
  <si>
    <t>Sondertyp 1170mm</t>
  </si>
  <si>
    <t>Typ33 800mm</t>
  </si>
  <si>
    <t>Typ21 600mm</t>
  </si>
  <si>
    <t>Typ33 700mm</t>
  </si>
  <si>
    <t>Typ20 800mm</t>
  </si>
  <si>
    <t>Typ33 500mm</t>
  </si>
  <si>
    <t>Typ33 1200mm</t>
  </si>
  <si>
    <t>Typ22 1100mm</t>
  </si>
  <si>
    <t>Niederschlagswasser</t>
  </si>
  <si>
    <t>Gesamtwasserbetrag</t>
  </si>
  <si>
    <t>Warmwassermenge</t>
  </si>
  <si>
    <t>Gesamtwassermenge</t>
  </si>
  <si>
    <t>lt. Rechnung</t>
  </si>
  <si>
    <t>Kostenaufstellung des gesamten Objekts</t>
  </si>
  <si>
    <t>Heizungsanlage</t>
  </si>
  <si>
    <t xml:space="preserve">Brennstoffverbrauch </t>
  </si>
  <si>
    <t>kWh</t>
  </si>
  <si>
    <t>Brennstoff</t>
  </si>
  <si>
    <t>Anteil</t>
  </si>
  <si>
    <t>Trennung der Gesamtkosten Heizungsanlage</t>
  </si>
  <si>
    <t>Gesamtsumme Heizungskosten</t>
  </si>
  <si>
    <t>Kaltwasser</t>
  </si>
  <si>
    <t>Faktor</t>
  </si>
  <si>
    <t>Ort</t>
  </si>
  <si>
    <t>Ablesewert</t>
  </si>
  <si>
    <t>Waschmaschine</t>
  </si>
  <si>
    <t>Unterschrift Ablesender</t>
  </si>
  <si>
    <t>Unterschrift Abgelesener</t>
  </si>
  <si>
    <t>Kaltwasser für Warmwasser</t>
  </si>
  <si>
    <t>Kaltwassermenge</t>
  </si>
  <si>
    <t>Vorjahr</t>
  </si>
  <si>
    <t>Euro</t>
  </si>
  <si>
    <t>Werte</t>
  </si>
  <si>
    <t>Whg. 1</t>
  </si>
  <si>
    <t>Whg. 6</t>
  </si>
  <si>
    <t>Whg. 5</t>
  </si>
  <si>
    <t>Whg. 4</t>
  </si>
  <si>
    <t>Whg. 3</t>
  </si>
  <si>
    <t>Whg. 2</t>
  </si>
  <si>
    <t>Typ</t>
  </si>
  <si>
    <t xml:space="preserve">Typ </t>
  </si>
  <si>
    <t>Techem</t>
  </si>
  <si>
    <t>Faktor für kWh</t>
  </si>
  <si>
    <t>Verbrauch Heizung</t>
  </si>
  <si>
    <t>Verbrauch Wasser</t>
  </si>
  <si>
    <t>Wert</t>
  </si>
  <si>
    <t>_______________________________________________________________________________________________________</t>
  </si>
  <si>
    <t>_________________________________________________________________________________________________________________</t>
  </si>
  <si>
    <t>_________________________________________________________________________________________________________</t>
  </si>
  <si>
    <t>Anteil WW</t>
  </si>
  <si>
    <t>Typ33 1200mmx330</t>
  </si>
  <si>
    <t>Typ21 700mmx330</t>
  </si>
  <si>
    <t>neu</t>
  </si>
  <si>
    <t xml:space="preserve">Objekt: </t>
  </si>
  <si>
    <t>Uhlandstr. 12</t>
  </si>
  <si>
    <t xml:space="preserve">Objektnummer: </t>
  </si>
  <si>
    <t>Becker WEG Uhland</t>
  </si>
  <si>
    <t xml:space="preserve">HKV-Typ: </t>
  </si>
  <si>
    <t>Q caloric 5 P3 AL32 oberes Loc</t>
  </si>
  <si>
    <t xml:space="preserve">HKV-Nr: </t>
  </si>
  <si>
    <t xml:space="preserve">Normtemperatur: </t>
  </si>
  <si>
    <t>Name</t>
  </si>
  <si>
    <t>Faktor 90</t>
  </si>
  <si>
    <t>Straße</t>
  </si>
  <si>
    <t>Lage</t>
  </si>
  <si>
    <t>Nutzer</t>
  </si>
  <si>
    <t>Geräte-Nr.</t>
  </si>
  <si>
    <t>Raum</t>
  </si>
  <si>
    <t>CMID</t>
  </si>
  <si>
    <t>HK-Art</t>
  </si>
  <si>
    <t>Länge / ...</t>
  </si>
  <si>
    <t>Höhe</t>
  </si>
  <si>
    <t>Tiefe</t>
  </si>
  <si>
    <t>Teilung</t>
  </si>
  <si>
    <t>KQ 90/70</t>
  </si>
  <si>
    <t>KC 1</t>
  </si>
  <si>
    <t>KC 2</t>
  </si>
  <si>
    <t>HKV Nr.</t>
  </si>
  <si>
    <t>HKV-Typ</t>
  </si>
  <si>
    <t>Frickenhausen</t>
  </si>
  <si>
    <t>EG li</t>
  </si>
  <si>
    <t>BAD</t>
  </si>
  <si>
    <t>PKKPC</t>
  </si>
  <si>
    <t>KÜ</t>
  </si>
  <si>
    <t>PKPC</t>
  </si>
  <si>
    <t>KI1</t>
  </si>
  <si>
    <t>PPC</t>
  </si>
  <si>
    <t>KI2</t>
  </si>
  <si>
    <t>WZ1</t>
  </si>
  <si>
    <t>WZ2</t>
  </si>
  <si>
    <t>SZ</t>
  </si>
  <si>
    <t>PKKPKPC</t>
  </si>
  <si>
    <t>EG re</t>
  </si>
  <si>
    <t>FL</t>
  </si>
  <si>
    <t>WZ3</t>
  </si>
  <si>
    <t>1.OG li</t>
  </si>
  <si>
    <t>ZI1</t>
  </si>
  <si>
    <t>ZI2</t>
  </si>
  <si>
    <t>1.OG re</t>
  </si>
  <si>
    <t>2.OG li</t>
  </si>
  <si>
    <t>2.OG re</t>
  </si>
  <si>
    <t>AZ</t>
  </si>
  <si>
    <t>SZ1</t>
  </si>
  <si>
    <t>SZ2</t>
  </si>
  <si>
    <t xml:space="preserve">                 Hausverwaltung Thomas Becker, Uhlandstr. 12, 72636 Frickenhausen</t>
  </si>
  <si>
    <t>Frau Tatiana Becker                Herrn Thomas Becker     Uhlandstr. 12                         72636 Frickenhausen</t>
  </si>
  <si>
    <t xml:space="preserve">                       Wohnung Nr.1 Uhlandstr.12, Frickenhausen Abrechnung vom</t>
  </si>
  <si>
    <t>_______________________________________________________________________________________________</t>
  </si>
  <si>
    <t>Bezeichnung</t>
  </si>
  <si>
    <t>Gesamt in €</t>
  </si>
  <si>
    <t>Schlüsselbezeichnung</t>
  </si>
  <si>
    <t xml:space="preserve"> Umlage</t>
  </si>
  <si>
    <t>Ihr Umlageanteil in €</t>
  </si>
  <si>
    <t>schlüssel</t>
  </si>
  <si>
    <t>Vergütung Techn. Hausbetr.</t>
  </si>
  <si>
    <t>Wohneinheiten</t>
  </si>
  <si>
    <t>1</t>
  </si>
  <si>
    <t>Heizung Verbrauch</t>
  </si>
  <si>
    <t>Abrechnung</t>
  </si>
  <si>
    <t>Heizung Wartung/Rep.</t>
  </si>
  <si>
    <t>Schornsteinfeger</t>
  </si>
  <si>
    <t>Wartung Baur</t>
  </si>
  <si>
    <t>Allgemein Strom</t>
  </si>
  <si>
    <t>Müllgebühren</t>
  </si>
  <si>
    <t>Haus &amp; Grund Mitgliedschaft</t>
  </si>
  <si>
    <t>Versicherungen</t>
  </si>
  <si>
    <t>Miteigent. Anteil</t>
  </si>
  <si>
    <t>Geb. mit Feuer</t>
  </si>
  <si>
    <t>Haus-Haftpflicht</t>
  </si>
  <si>
    <t>Nebenkosten Geldverkehr</t>
  </si>
  <si>
    <t>Reparaturen/Anschaffungen</t>
  </si>
  <si>
    <t>Differenzbetrag</t>
  </si>
  <si>
    <t>weg.uhlandstr.12@gmx.de</t>
  </si>
  <si>
    <t xml:space="preserve">                       Wohnung Nr.2 Uhlandstr.12, Frickenhausen Abrechnung vom</t>
  </si>
  <si>
    <t>Reparatur Baur</t>
  </si>
  <si>
    <t>Personen</t>
  </si>
  <si>
    <t>2</t>
  </si>
  <si>
    <t>Frau                                                               Monika Bernsee                       Uhlandstr. 12                          72636 Frickenhausen</t>
  </si>
  <si>
    <t xml:space="preserve">                       Wohnung Nr.3 Uhlandstr.12, Frickenhausen Abrechnung vom</t>
  </si>
  <si>
    <t>Frau S. Ballestriero                         Herrn U. Ballestriero                               Robert-Koch Str. 17                                     72636 Tischardt</t>
  </si>
  <si>
    <t xml:space="preserve">                       Wohnung Nr.4 Uhlandstr.12, Frickenhausen Abrechnung vom</t>
  </si>
  <si>
    <t xml:space="preserve">                       Wohnung Nr.5 Uhlandstr.12, Frickenhausen Abrechnung vom</t>
  </si>
  <si>
    <t xml:space="preserve">              Markus Gneiting, Max Reger Str. 26, 72636 Frickenhausen</t>
  </si>
  <si>
    <t xml:space="preserve">                       Wohnung Nr.6 Uhlandstr.12, Frickenhausen Abrechnung vom</t>
  </si>
  <si>
    <t xml:space="preserve"> Ihr Umlageanteil in € </t>
  </si>
  <si>
    <t>Herrn                                      Markus Gneiting                       Max-Reger Str. 26                   72636 Frickenhausen</t>
  </si>
  <si>
    <t>Wartung  Baur</t>
  </si>
  <si>
    <t>Bankverbindung: KSK Esslingen IBAN DE70 6115 0020 0008 1610 37</t>
  </si>
  <si>
    <t>HMT</t>
  </si>
  <si>
    <t>WEG Rücklagen</t>
  </si>
  <si>
    <t>Ausgaben</t>
  </si>
  <si>
    <t>Haftpflicht</t>
  </si>
  <si>
    <t>Gebäude</t>
  </si>
  <si>
    <t>fairenergie Gas</t>
  </si>
  <si>
    <t>Schornstein</t>
  </si>
  <si>
    <t>Müll</t>
  </si>
  <si>
    <t>Wasser</t>
  </si>
  <si>
    <t>Haus und Grund</t>
  </si>
  <si>
    <t>Baur</t>
  </si>
  <si>
    <t>Auslagen HM</t>
  </si>
  <si>
    <t>Konto</t>
  </si>
  <si>
    <t>Weber</t>
  </si>
  <si>
    <t>60573438</t>
  </si>
  <si>
    <t>84701228</t>
  </si>
  <si>
    <t>190117686</t>
  </si>
  <si>
    <t>60431049</t>
  </si>
  <si>
    <t>84701243</t>
  </si>
  <si>
    <t>190117688</t>
  </si>
  <si>
    <t>60431046</t>
  </si>
  <si>
    <t>84701241</t>
  </si>
  <si>
    <t>190117687</t>
  </si>
  <si>
    <t>60431051</t>
  </si>
  <si>
    <t>84701231</t>
  </si>
  <si>
    <t>190117690</t>
  </si>
  <si>
    <t>60431075</t>
  </si>
  <si>
    <t>84701238</t>
  </si>
  <si>
    <t>190117700</t>
  </si>
  <si>
    <t>60431048</t>
  </si>
  <si>
    <t>60573468</t>
  </si>
  <si>
    <t>84701234</t>
  </si>
  <si>
    <t>84701242</t>
  </si>
  <si>
    <t>190117683</t>
  </si>
  <si>
    <t xml:space="preserve"> Weber</t>
  </si>
  <si>
    <t>4</t>
  </si>
  <si>
    <t>Heizung / Wasser Verbrauch</t>
  </si>
  <si>
    <t>Rückzahlungen</t>
  </si>
  <si>
    <t>__________________________________________________________________________________________________________________________________</t>
  </si>
  <si>
    <t>___________________________________________________________________________________________________</t>
  </si>
  <si>
    <t>____________________________________________________________________________________________________</t>
  </si>
  <si>
    <t>_____________________________________________________________________________________________________________</t>
  </si>
  <si>
    <t>Michael Weber              Uhlandstr. 12                                   72636 Frickenhausen</t>
  </si>
  <si>
    <t xml:space="preserve">Ablesewert </t>
  </si>
  <si>
    <t>neu 2019</t>
  </si>
  <si>
    <t>Peer Weiß-Fudisch                                   Uhlandstr. 12                            72636 Frickenhausen</t>
  </si>
  <si>
    <t>Kontrollsumme</t>
  </si>
  <si>
    <t>Legionellenprüfung</t>
  </si>
  <si>
    <t xml:space="preserve"> Neu 90878832
alter war defekt</t>
  </si>
  <si>
    <t xml:space="preserve"> </t>
  </si>
  <si>
    <t>Rücklagen 2023</t>
  </si>
  <si>
    <t>Drost</t>
  </si>
  <si>
    <t>Sieglinde Drost             Uhlandstr. 12                         72636 Frickenhausen</t>
  </si>
  <si>
    <t>Summe. Kaltwasser</t>
  </si>
  <si>
    <t xml:space="preserve">                           </t>
  </si>
  <si>
    <t>Ihre Nachzahlung  beträgt:</t>
  </si>
  <si>
    <t>Ihre Rückzahlung beträgt:</t>
  </si>
  <si>
    <t>Ihre Nachzahlung beträgt:</t>
  </si>
  <si>
    <t>Strom VaFa</t>
  </si>
  <si>
    <t xml:space="preserve">Einnahmen </t>
  </si>
  <si>
    <t xml:space="preserve">Ausgaben </t>
  </si>
  <si>
    <t>bis 31.12.24</t>
  </si>
  <si>
    <t>Rücklagen 2024</t>
  </si>
  <si>
    <t>erneuert</t>
  </si>
  <si>
    <t>Aktuell:</t>
  </si>
  <si>
    <t>Ihre Rückzahlung  beträgt:</t>
  </si>
  <si>
    <t>Zahlung aus RL:</t>
  </si>
  <si>
    <t>Legionellen Prüfung</t>
  </si>
  <si>
    <t xml:space="preserve">Abrechnung 2025
</t>
  </si>
  <si>
    <t>01.01.2025</t>
  </si>
  <si>
    <t>bis 31.12.25</t>
  </si>
  <si>
    <t>Vorausszahlungen 2025</t>
  </si>
  <si>
    <t>Ableseprotokoll Verbrauch 2025</t>
  </si>
  <si>
    <t>Abrechnung 2025</t>
  </si>
  <si>
    <t>bis 31.12.2025</t>
  </si>
  <si>
    <t>2025</t>
  </si>
  <si>
    <t>vom 01.01.2025</t>
  </si>
  <si>
    <t xml:space="preserve">                                     Ein- und Ausgaben WEG Uhlandstr. 12 , Jahr 2025</t>
  </si>
  <si>
    <t>Heiz-, Warm- und Kaltwasserkosten Abrechnung 2025</t>
  </si>
  <si>
    <t>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</si>
</sst>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#,##0.00\ &quot;€&quot;"/>
    <numFmt numFmtId="165" formatCode="0.000"/>
    <numFmt numFmtId="166" formatCode="dd/mm/yy;@"/>
    <numFmt numFmtId="167" formatCode="0.000;[Red]0.000"/>
    <numFmt numFmtId="168" formatCode="0.0000"/>
    <numFmt numFmtId="169" formatCode="0;[Red]0"/>
    <numFmt numFmtId="170" formatCode="0.0"/>
    <numFmt numFmtId="171" formatCode="0.0;[Red]0.0"/>
    <numFmt numFmtId="172" formatCode="#,##0.00000\ &quot;€&quot;"/>
    <numFmt numFmtId="173" formatCode="#,##0.00\ [$€-1]"/>
    <numFmt numFmtId="174" formatCode="#,##0.00\ _€"/>
    <numFmt numFmtId="175" formatCode="[$-407]mmmm\ yy;@"/>
  </numFmts>
  <fonts count="29" x14ac:knownFonts="1"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sz val="8"/>
      <name val="Calibri"/>
      <family val="2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20"/>
      <name val="Arial"/>
      <family val="2"/>
    </font>
    <font>
      <b/>
      <sz val="10"/>
      <color rgb="FF008000"/>
      <name val="Arial"/>
      <family val="2"/>
    </font>
    <font>
      <b/>
      <sz val="10"/>
      <color rgb="FFFF0000"/>
      <name val="Arial"/>
      <family val="2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56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4" fillId="0" borderId="0"/>
    <xf numFmtId="0" fontId="19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71">
    <xf numFmtId="0" fontId="0" fillId="0" borderId="0" xfId="0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1" fillId="0" borderId="0" xfId="0" applyFont="1"/>
    <xf numFmtId="164" fontId="1" fillId="0" borderId="0" xfId="0" applyNumberFormat="1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6" fontId="0" fillId="0" borderId="0" xfId="0" applyNumberFormat="1"/>
    <xf numFmtId="167" fontId="0" fillId="0" borderId="0" xfId="0" applyNumberFormat="1"/>
    <xf numFmtId="49" fontId="0" fillId="0" borderId="0" xfId="0" applyNumberFormat="1"/>
    <xf numFmtId="165" fontId="1" fillId="0" borderId="0" xfId="0" applyNumberFormat="1" applyFont="1" applyAlignment="1">
      <alignment horizontal="right"/>
    </xf>
    <xf numFmtId="164" fontId="0" fillId="0" borderId="0" xfId="0" applyNumberFormat="1" applyProtection="1">
      <protection locked="0"/>
    </xf>
    <xf numFmtId="2" fontId="0" fillId="0" borderId="0" xfId="0" applyNumberFormat="1"/>
    <xf numFmtId="0" fontId="4" fillId="0" borderId="0" xfId="0" applyFont="1"/>
    <xf numFmtId="14" fontId="0" fillId="0" borderId="0" xfId="0" applyNumberFormat="1"/>
    <xf numFmtId="165" fontId="7" fillId="0" borderId="0" xfId="0" applyNumberFormat="1" applyFont="1" applyAlignment="1">
      <alignment horizontal="right"/>
    </xf>
    <xf numFmtId="49" fontId="4" fillId="0" borderId="0" xfId="0" applyNumberFormat="1" applyFont="1"/>
    <xf numFmtId="166" fontId="4" fillId="0" borderId="0" xfId="0" applyNumberFormat="1" applyFont="1"/>
    <xf numFmtId="0" fontId="7" fillId="0" borderId="0" xfId="0" applyFont="1"/>
    <xf numFmtId="10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7" fillId="0" borderId="0" xfId="0" applyNumberFormat="1" applyFont="1"/>
    <xf numFmtId="0" fontId="9" fillId="0" borderId="0" xfId="0" applyFont="1" applyAlignment="1">
      <alignment horizontal="left"/>
    </xf>
    <xf numFmtId="0" fontId="4" fillId="0" borderId="1" xfId="0" applyFont="1" applyBorder="1"/>
    <xf numFmtId="166" fontId="4" fillId="0" borderId="1" xfId="0" applyNumberFormat="1" applyFont="1" applyBorder="1"/>
    <xf numFmtId="49" fontId="8" fillId="0" borderId="1" xfId="0" applyNumberFormat="1" applyFont="1" applyBorder="1"/>
    <xf numFmtId="166" fontId="8" fillId="0" borderId="1" xfId="0" applyNumberFormat="1" applyFont="1" applyBorder="1"/>
    <xf numFmtId="0" fontId="8" fillId="0" borderId="1" xfId="0" applyFont="1" applyBorder="1"/>
    <xf numFmtId="0" fontId="0" fillId="0" borderId="1" xfId="0" applyBorder="1"/>
    <xf numFmtId="166" fontId="0" fillId="0" borderId="1" xfId="0" applyNumberFormat="1" applyBorder="1"/>
    <xf numFmtId="166" fontId="0" fillId="0" borderId="1" xfId="0" applyNumberFormat="1" applyBorder="1" applyProtection="1">
      <protection locked="0"/>
    </xf>
    <xf numFmtId="1" fontId="0" fillId="0" borderId="0" xfId="0" applyNumberFormat="1"/>
    <xf numFmtId="1" fontId="4" fillId="0" borderId="0" xfId="0" applyNumberFormat="1" applyFont="1"/>
    <xf numFmtId="0" fontId="8" fillId="0" borderId="1" xfId="0" applyFont="1" applyBorder="1" applyAlignment="1">
      <alignment horizontal="right"/>
    </xf>
    <xf numFmtId="168" fontId="4" fillId="0" borderId="1" xfId="0" applyNumberFormat="1" applyFont="1" applyBorder="1"/>
    <xf numFmtId="169" fontId="4" fillId="0" borderId="1" xfId="0" applyNumberFormat="1" applyFont="1" applyBorder="1"/>
    <xf numFmtId="170" fontId="0" fillId="0" borderId="0" xfId="0" applyNumberFormat="1"/>
    <xf numFmtId="171" fontId="0" fillId="0" borderId="0" xfId="0" applyNumberFormat="1"/>
    <xf numFmtId="170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" fontId="0" fillId="0" borderId="0" xfId="0" applyNumberFormat="1" applyProtection="1">
      <protection locked="0"/>
    </xf>
    <xf numFmtId="1" fontId="8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9" fontId="7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horizontal="center"/>
    </xf>
    <xf numFmtId="49" fontId="8" fillId="0" borderId="0" xfId="0" applyNumberFormat="1" applyFont="1"/>
    <xf numFmtId="0" fontId="8" fillId="0" borderId="0" xfId="0" applyFont="1" applyAlignment="1">
      <alignment horizontal="center"/>
    </xf>
    <xf numFmtId="49" fontId="7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72" fontId="0" fillId="0" borderId="0" xfId="0" applyNumberFormat="1"/>
    <xf numFmtId="0" fontId="0" fillId="2" borderId="0" xfId="0" applyFill="1"/>
    <xf numFmtId="169" fontId="4" fillId="0" borderId="0" xfId="0" applyNumberFormat="1" applyFont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165" fontId="8" fillId="0" borderId="0" xfId="0" applyNumberFormat="1" applyFont="1" applyAlignment="1">
      <alignment horizontal="right"/>
    </xf>
    <xf numFmtId="0" fontId="8" fillId="0" borderId="0" xfId="0" applyFont="1"/>
    <xf numFmtId="1" fontId="4" fillId="0" borderId="0" xfId="0" applyNumberFormat="1" applyFont="1" applyProtection="1">
      <protection locked="0"/>
    </xf>
    <xf numFmtId="0" fontId="13" fillId="0" borderId="0" xfId="0" applyFont="1"/>
    <xf numFmtId="0" fontId="16" fillId="0" borderId="0" xfId="345" applyFont="1"/>
    <xf numFmtId="49" fontId="14" fillId="0" borderId="0" xfId="345" applyNumberFormat="1"/>
    <xf numFmtId="173" fontId="14" fillId="0" borderId="0" xfId="345" applyNumberFormat="1"/>
    <xf numFmtId="0" fontId="14" fillId="0" borderId="0" xfId="345"/>
    <xf numFmtId="44" fontId="14" fillId="0" borderId="0" xfId="345" applyNumberFormat="1"/>
    <xf numFmtId="49" fontId="14" fillId="0" borderId="0" xfId="345" applyNumberFormat="1" applyAlignment="1">
      <alignment wrapText="1"/>
    </xf>
    <xf numFmtId="173" fontId="14" fillId="0" borderId="0" xfId="345" applyNumberFormat="1" applyAlignment="1">
      <alignment wrapText="1"/>
    </xf>
    <xf numFmtId="0" fontId="14" fillId="0" borderId="0" xfId="345" applyAlignment="1">
      <alignment wrapText="1"/>
    </xf>
    <xf numFmtId="14" fontId="14" fillId="0" borderId="0" xfId="345" applyNumberFormat="1" applyAlignment="1">
      <alignment vertical="top" wrapText="1"/>
    </xf>
    <xf numFmtId="0" fontId="17" fillId="0" borderId="0" xfId="345" applyFont="1"/>
    <xf numFmtId="49" fontId="16" fillId="0" borderId="0" xfId="345" applyNumberFormat="1" applyFont="1"/>
    <xf numFmtId="173" fontId="16" fillId="0" borderId="0" xfId="345" applyNumberFormat="1" applyFont="1"/>
    <xf numFmtId="44" fontId="16" fillId="0" borderId="0" xfId="345" applyNumberFormat="1" applyFont="1"/>
    <xf numFmtId="49" fontId="16" fillId="0" borderId="0" xfId="345" applyNumberFormat="1" applyFont="1" applyAlignment="1">
      <alignment vertical="top"/>
    </xf>
    <xf numFmtId="173" fontId="16" fillId="0" borderId="0" xfId="345" applyNumberFormat="1" applyFont="1" applyAlignment="1">
      <alignment vertical="top"/>
    </xf>
    <xf numFmtId="0" fontId="16" fillId="0" borderId="0" xfId="345" applyFont="1" applyAlignment="1">
      <alignment vertical="top"/>
    </xf>
    <xf numFmtId="44" fontId="16" fillId="0" borderId="0" xfId="345" applyNumberFormat="1" applyFont="1" applyAlignment="1">
      <alignment vertical="top"/>
    </xf>
    <xf numFmtId="49" fontId="14" fillId="0" borderId="0" xfId="345" applyNumberFormat="1" applyAlignment="1">
      <alignment vertical="top"/>
    </xf>
    <xf numFmtId="173" fontId="14" fillId="0" borderId="0" xfId="345" applyNumberFormat="1" applyAlignment="1">
      <alignment vertical="top"/>
    </xf>
    <xf numFmtId="0" fontId="14" fillId="0" borderId="0" xfId="345" applyAlignment="1">
      <alignment vertical="top"/>
    </xf>
    <xf numFmtId="44" fontId="14" fillId="0" borderId="0" xfId="345" applyNumberFormat="1" applyAlignment="1">
      <alignment vertical="top"/>
    </xf>
    <xf numFmtId="0" fontId="14" fillId="0" borderId="0" xfId="345" applyAlignment="1">
      <alignment horizontal="center"/>
    </xf>
    <xf numFmtId="49" fontId="14" fillId="0" borderId="0" xfId="345" applyNumberFormat="1" applyAlignment="1">
      <alignment horizontal="center"/>
    </xf>
    <xf numFmtId="164" fontId="14" fillId="0" borderId="0" xfId="345" applyNumberFormat="1" applyAlignment="1">
      <alignment horizontal="right" vertical="center"/>
    </xf>
    <xf numFmtId="164" fontId="14" fillId="0" borderId="0" xfId="345" applyNumberFormat="1"/>
    <xf numFmtId="0" fontId="16" fillId="0" borderId="0" xfId="345" applyFont="1" applyAlignment="1">
      <alignment horizontal="center"/>
    </xf>
    <xf numFmtId="49" fontId="16" fillId="0" borderId="0" xfId="345" applyNumberFormat="1" applyFont="1" applyAlignment="1">
      <alignment horizontal="center"/>
    </xf>
    <xf numFmtId="164" fontId="16" fillId="0" borderId="0" xfId="345" applyNumberFormat="1" applyFont="1" applyAlignment="1">
      <alignment horizontal="right" vertical="center"/>
    </xf>
    <xf numFmtId="8" fontId="14" fillId="0" borderId="0" xfId="345" applyNumberFormat="1" applyAlignment="1">
      <alignment horizontal="right" vertical="center"/>
    </xf>
    <xf numFmtId="174" fontId="14" fillId="0" borderId="0" xfId="345" applyNumberFormat="1" applyAlignment="1">
      <alignment vertical="top"/>
    </xf>
    <xf numFmtId="173" fontId="14" fillId="0" borderId="0" xfId="345" applyNumberFormat="1" applyAlignment="1">
      <alignment vertical="center"/>
    </xf>
    <xf numFmtId="49" fontId="15" fillId="0" borderId="0" xfId="345" applyNumberFormat="1" applyFont="1" applyAlignment="1">
      <alignment horizontal="center"/>
    </xf>
    <xf numFmtId="164" fontId="14" fillId="0" borderId="0" xfId="345" applyNumberFormat="1" applyAlignment="1">
      <alignment horizontal="right"/>
    </xf>
    <xf numFmtId="164" fontId="14" fillId="0" borderId="0" xfId="345" applyNumberFormat="1" applyAlignment="1">
      <alignment horizontal="right" vertical="top"/>
    </xf>
    <xf numFmtId="164" fontId="20" fillId="0" borderId="0" xfId="345" applyNumberFormat="1" applyFont="1"/>
    <xf numFmtId="2" fontId="14" fillId="0" borderId="0" xfId="345" applyNumberFormat="1"/>
    <xf numFmtId="175" fontId="14" fillId="0" borderId="0" xfId="345" applyNumberFormat="1"/>
    <xf numFmtId="0" fontId="22" fillId="0" borderId="0" xfId="345" applyFont="1"/>
    <xf numFmtId="0" fontId="23" fillId="0" borderId="0" xfId="345" applyFont="1"/>
    <xf numFmtId="8" fontId="14" fillId="0" borderId="0" xfId="345" applyNumberFormat="1"/>
    <xf numFmtId="2" fontId="14" fillId="0" borderId="0" xfId="345" applyNumberFormat="1" applyAlignment="1">
      <alignment horizontal="right"/>
    </xf>
    <xf numFmtId="164" fontId="14" fillId="0" borderId="0" xfId="345" applyNumberFormat="1" applyAlignment="1">
      <alignment horizontal="center"/>
    </xf>
    <xf numFmtId="0" fontId="14" fillId="0" borderId="0" xfId="345" applyAlignment="1">
      <alignment horizontal="right"/>
    </xf>
    <xf numFmtId="49" fontId="7" fillId="0" borderId="0" xfId="0" applyNumberFormat="1" applyFont="1" applyAlignment="1">
      <alignment horizontal="center"/>
    </xf>
    <xf numFmtId="164" fontId="0" fillId="3" borderId="0" xfId="0" applyNumberFormat="1" applyFill="1"/>
    <xf numFmtId="174" fontId="0" fillId="0" borderId="0" xfId="0" applyNumberFormat="1"/>
    <xf numFmtId="0" fontId="4" fillId="0" borderId="0" xfId="0" applyFont="1" applyAlignment="1">
      <alignment horizontal="right"/>
    </xf>
    <xf numFmtId="0" fontId="24" fillId="0" borderId="0" xfId="0" applyFont="1"/>
    <xf numFmtId="0" fontId="1" fillId="0" borderId="0" xfId="345" applyFont="1" applyAlignment="1">
      <alignment horizontal="center"/>
    </xf>
    <xf numFmtId="166" fontId="24" fillId="0" borderId="0" xfId="0" applyNumberFormat="1" applyFont="1"/>
    <xf numFmtId="165" fontId="0" fillId="3" borderId="1" xfId="0" applyNumberFormat="1" applyFill="1" applyBorder="1"/>
    <xf numFmtId="0" fontId="11" fillId="0" borderId="1" xfId="0" applyFont="1" applyBorder="1"/>
    <xf numFmtId="0" fontId="12" fillId="0" borderId="1" xfId="0" applyFont="1" applyBorder="1"/>
    <xf numFmtId="49" fontId="4" fillId="0" borderId="1" xfId="0" applyNumberFormat="1" applyFont="1" applyBorder="1"/>
    <xf numFmtId="165" fontId="4" fillId="0" borderId="1" xfId="0" applyNumberFormat="1" applyFont="1" applyBorder="1" applyAlignment="1">
      <alignment horizontal="right"/>
    </xf>
    <xf numFmtId="165" fontId="4" fillId="0" borderId="1" xfId="0" applyNumberFormat="1" applyFont="1" applyBorder="1"/>
    <xf numFmtId="14" fontId="4" fillId="0" borderId="1" xfId="0" applyNumberFormat="1" applyFont="1" applyBorder="1"/>
    <xf numFmtId="49" fontId="0" fillId="0" borderId="1" xfId="0" applyNumberFormat="1" applyBorder="1"/>
    <xf numFmtId="165" fontId="0" fillId="0" borderId="1" xfId="0" applyNumberFormat="1" applyBorder="1"/>
    <xf numFmtId="169" fontId="4" fillId="0" borderId="1" xfId="0" applyNumberFormat="1" applyFont="1" applyBorder="1" applyAlignment="1">
      <alignment horizontal="right"/>
    </xf>
    <xf numFmtId="0" fontId="21" fillId="0" borderId="0" xfId="345" applyFont="1" applyAlignment="1">
      <alignment horizontal="left" wrapText="1"/>
    </xf>
    <xf numFmtId="2" fontId="14" fillId="0" borderId="0" xfId="345" applyNumberFormat="1" applyAlignment="1">
      <alignment horizontal="left"/>
    </xf>
    <xf numFmtId="14" fontId="7" fillId="0" borderId="0" xfId="0" applyNumberFormat="1" applyFont="1"/>
    <xf numFmtId="0" fontId="25" fillId="0" borderId="0" xfId="0" applyFont="1"/>
    <xf numFmtId="0" fontId="0" fillId="0" borderId="1" xfId="0" applyBorder="1" applyAlignment="1">
      <alignment wrapText="1"/>
    </xf>
    <xf numFmtId="165" fontId="4" fillId="0" borderId="0" xfId="0" applyNumberFormat="1" applyFont="1"/>
    <xf numFmtId="170" fontId="4" fillId="0" borderId="0" xfId="0" applyNumberFormat="1" applyFont="1"/>
    <xf numFmtId="49" fontId="16" fillId="0" borderId="0" xfId="345" applyNumberFormat="1" applyFont="1" applyAlignment="1">
      <alignment horizontal="center" vertical="center"/>
    </xf>
    <xf numFmtId="170" fontId="1" fillId="0" borderId="0" xfId="0" applyNumberFormat="1" applyFont="1"/>
    <xf numFmtId="164" fontId="14" fillId="0" borderId="0" xfId="0" applyNumberFormat="1" applyFont="1"/>
    <xf numFmtId="173" fontId="14" fillId="0" borderId="0" xfId="0" applyNumberFormat="1" applyFont="1"/>
    <xf numFmtId="49" fontId="16" fillId="0" borderId="0" xfId="345" applyNumberFormat="1" applyFont="1" applyAlignment="1">
      <alignment horizontal="right"/>
    </xf>
    <xf numFmtId="49" fontId="18" fillId="0" borderId="0" xfId="345" applyNumberFormat="1" applyFont="1" applyAlignment="1">
      <alignment horizontal="center"/>
    </xf>
    <xf numFmtId="49" fontId="19" fillId="0" borderId="0" xfId="346" applyNumberFormat="1" applyAlignment="1">
      <alignment horizontal="center" vertical="top"/>
    </xf>
    <xf numFmtId="0" fontId="26" fillId="0" borderId="0" xfId="0" applyFont="1" applyAlignment="1">
      <alignment horizontal="right"/>
    </xf>
    <xf numFmtId="164" fontId="26" fillId="0" borderId="0" xfId="0" applyNumberFormat="1" applyFont="1"/>
    <xf numFmtId="0" fontId="26" fillId="0" borderId="0" xfId="0" applyFont="1"/>
    <xf numFmtId="174" fontId="26" fillId="0" borderId="0" xfId="0" applyNumberFormat="1" applyFont="1"/>
    <xf numFmtId="0" fontId="27" fillId="0" borderId="0" xfId="345" applyFont="1" applyAlignment="1">
      <alignment horizontal="right"/>
    </xf>
    <xf numFmtId="164" fontId="27" fillId="0" borderId="0" xfId="345" applyNumberFormat="1" applyFont="1"/>
    <xf numFmtId="0" fontId="27" fillId="0" borderId="0" xfId="345" applyFont="1"/>
    <xf numFmtId="165" fontId="0" fillId="0" borderId="0" xfId="0" applyNumberFormat="1" applyProtection="1">
      <protection locked="0"/>
    </xf>
    <xf numFmtId="0" fontId="14" fillId="0" borderId="0" xfId="0" applyFont="1" applyAlignment="1">
      <alignment horizontal="center"/>
    </xf>
    <xf numFmtId="49" fontId="14" fillId="0" borderId="0" xfId="0" applyNumberFormat="1" applyFont="1"/>
    <xf numFmtId="49" fontId="14" fillId="0" borderId="0" xfId="0" applyNumberFormat="1" applyFont="1" applyAlignment="1">
      <alignment horizontal="center"/>
    </xf>
    <xf numFmtId="164" fontId="16" fillId="0" borderId="0" xfId="345" applyNumberFormat="1" applyFont="1"/>
    <xf numFmtId="164" fontId="28" fillId="0" borderId="0" xfId="345" applyNumberFormat="1" applyFont="1"/>
    <xf numFmtId="2" fontId="16" fillId="0" borderId="0" xfId="345" applyNumberFormat="1" applyFont="1" applyAlignment="1">
      <alignment horizontal="center"/>
    </xf>
    <xf numFmtId="44" fontId="26" fillId="0" borderId="0" xfId="0" applyNumberFormat="1" applyFont="1"/>
    <xf numFmtId="14" fontId="26" fillId="0" borderId="0" xfId="0" applyNumberFormat="1" applyFont="1"/>
    <xf numFmtId="0" fontId="21" fillId="0" borderId="0" xfId="345" applyFont="1" applyAlignment="1">
      <alignment horizontal="left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15" fillId="0" borderId="0" xfId="345" applyNumberFormat="1" applyFont="1" applyAlignment="1">
      <alignment horizontal="center"/>
    </xf>
    <xf numFmtId="0" fontId="17" fillId="0" borderId="0" xfId="345" applyFont="1" applyAlignment="1">
      <alignment horizontal="center"/>
    </xf>
    <xf numFmtId="49" fontId="18" fillId="0" borderId="0" xfId="345" applyNumberFormat="1" applyFont="1" applyAlignment="1">
      <alignment horizontal="center"/>
    </xf>
    <xf numFmtId="49" fontId="19" fillId="0" borderId="0" xfId="346" applyNumberFormat="1" applyAlignment="1">
      <alignment horizontal="center" vertical="top"/>
    </xf>
    <xf numFmtId="0" fontId="4" fillId="0" borderId="1" xfId="0" applyFont="1" applyBorder="1"/>
    <xf numFmtId="0" fontId="17" fillId="0" borderId="0" xfId="345" applyFont="1" applyAlignment="1">
      <alignment horizontal="center" wrapText="1"/>
    </xf>
    <xf numFmtId="49" fontId="16" fillId="0" borderId="0" xfId="345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356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8" builtinId="9" hidden="1"/>
    <cellStyle name="Besuchter Hyperlink" xfId="290" builtinId="9" hidden="1"/>
    <cellStyle name="Besuchter Hyperlink" xfId="292" builtinId="9" hidden="1"/>
    <cellStyle name="Besuchter Hyperlink" xfId="294" builtinId="9" hidden="1"/>
    <cellStyle name="Besuchter Hyperlink" xfId="296" builtinId="9" hidden="1"/>
    <cellStyle name="Besuchter Hyperlink" xfId="298" builtinId="9" hidden="1"/>
    <cellStyle name="Besuchter Hyperlink" xfId="300" builtinId="9" hidden="1"/>
    <cellStyle name="Besuchter Hyperlink" xfId="302" builtinId="9" hidden="1"/>
    <cellStyle name="Besuchter Hyperlink" xfId="304" builtinId="9" hidden="1"/>
    <cellStyle name="Besuchter Hyperlink" xfId="306" builtinId="9" hidden="1"/>
    <cellStyle name="Besuchter Hyperlink" xfId="308" builtinId="9" hidden="1"/>
    <cellStyle name="Besuchter Hyperlink" xfId="310" builtinId="9" hidden="1"/>
    <cellStyle name="Besuchter Hyperlink" xfId="312" builtinId="9" hidden="1"/>
    <cellStyle name="Besuchter Hyperlink" xfId="314" builtinId="9" hidden="1"/>
    <cellStyle name="Besuchter Hyperlink" xfId="316" builtinId="9" hidden="1"/>
    <cellStyle name="Besuchter Hyperlink" xfId="318" builtinId="9" hidden="1"/>
    <cellStyle name="Besuchter Hyperlink" xfId="320" builtinId="9" hidden="1"/>
    <cellStyle name="Besuchter Hyperlink" xfId="322" builtinId="9" hidden="1"/>
    <cellStyle name="Besuchter Hyperlink" xfId="324" builtinId="9" hidden="1"/>
    <cellStyle name="Besuchter Hyperlink" xfId="326" builtinId="9" hidden="1"/>
    <cellStyle name="Besuchter Hyperlink" xfId="328" builtinId="9" hidden="1"/>
    <cellStyle name="Besuchter Hyperlink" xfId="330" builtinId="9" hidden="1"/>
    <cellStyle name="Besuchter Hyperlink" xfId="332" builtinId="9" hidden="1"/>
    <cellStyle name="Besuchter Hyperlink" xfId="334" builtinId="9" hidden="1"/>
    <cellStyle name="Besuchter Hyperlink" xfId="336" builtinId="9" hidden="1"/>
    <cellStyle name="Besuchter Hyperlink" xfId="338" builtinId="9" hidden="1"/>
    <cellStyle name="Besuchter Hyperlink" xfId="340" builtinId="9" hidden="1"/>
    <cellStyle name="Besuchter Hyperlink" xfId="342" builtinId="9" hidden="1"/>
    <cellStyle name="Besuchter Hyperlink" xfId="344" builtinId="9" hidden="1"/>
    <cellStyle name="Besuchter Hyperlink" xfId="347" builtinId="9" hidden="1"/>
    <cellStyle name="Besuchter Hyperlink" xfId="348" builtinId="9" hidden="1"/>
    <cellStyle name="Besuchter Hyperlink" xfId="349" builtinId="9" hidden="1"/>
    <cellStyle name="Besuchter Hyperlink" xfId="350" builtinId="9" hidden="1"/>
    <cellStyle name="Besuchter Hyperlink" xfId="351" builtinId="9" hidden="1"/>
    <cellStyle name="Besuchter Hyperlink" xfId="352" builtinId="9" hidden="1"/>
    <cellStyle name="Besuchter Hyperlink" xfId="353" builtinId="9" hidden="1"/>
    <cellStyle name="Besuchter Hyperlink" xfId="354" builtinId="9" hidden="1"/>
    <cellStyle name="Besuchter Hyperlink" xfId="355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Link" xfId="15" builtinId="8" hidden="1"/>
    <cellStyle name="Link" xfId="17" builtinId="8" hidden="1"/>
    <cellStyle name="Link" xfId="19" builtinId="8" hidden="1"/>
    <cellStyle name="Link" xfId="21" builtinId="8" hidden="1"/>
    <cellStyle name="Link" xfId="23" builtinId="8" hidden="1"/>
    <cellStyle name="Link" xfId="25" builtinId="8" hidden="1"/>
    <cellStyle name="Link" xfId="27" builtinId="8" hidden="1"/>
    <cellStyle name="Link" xfId="29" builtinId="8" hidden="1"/>
    <cellStyle name="Link" xfId="31" builtinId="8" hidden="1"/>
    <cellStyle name="Link" xfId="33" builtinId="8" hidden="1"/>
    <cellStyle name="Link" xfId="35" builtinId="8" hidden="1"/>
    <cellStyle name="Link" xfId="37" builtinId="8" hidden="1"/>
    <cellStyle name="Link" xfId="39" builtinId="8" hidden="1"/>
    <cellStyle name="Link" xfId="41" builtinId="8" hidden="1"/>
    <cellStyle name="Link" xfId="43" builtinId="8" hidden="1"/>
    <cellStyle name="Link" xfId="45" builtinId="8" hidden="1"/>
    <cellStyle name="Link" xfId="47" builtinId="8" hidden="1"/>
    <cellStyle name="Link" xfId="49" builtinId="8" hidden="1"/>
    <cellStyle name="Link" xfId="51" builtinId="8" hidden="1"/>
    <cellStyle name="Link" xfId="53" builtinId="8" hidden="1"/>
    <cellStyle name="Link" xfId="55" builtinId="8" hidden="1"/>
    <cellStyle name="Link" xfId="57" builtinId="8" hidden="1"/>
    <cellStyle name="Link" xfId="59" builtinId="8" hidden="1"/>
    <cellStyle name="Link" xfId="61" builtinId="8" hidden="1"/>
    <cellStyle name="Link" xfId="63" builtinId="8" hidden="1"/>
    <cellStyle name="Link" xfId="65" builtinId="8" hidden="1"/>
    <cellStyle name="Link" xfId="67" builtinId="8" hidden="1"/>
    <cellStyle name="Link" xfId="69" builtinId="8" hidden="1"/>
    <cellStyle name="Link" xfId="71" builtinId="8" hidden="1"/>
    <cellStyle name="Link" xfId="73" builtinId="8" hidden="1"/>
    <cellStyle name="Link" xfId="75" builtinId="8" hidden="1"/>
    <cellStyle name="Link" xfId="77" builtinId="8" hidden="1"/>
    <cellStyle name="Link" xfId="79" builtinId="8" hidden="1"/>
    <cellStyle name="Link" xfId="81" builtinId="8" hidden="1"/>
    <cellStyle name="Link" xfId="83" builtinId="8" hidden="1"/>
    <cellStyle name="Link" xfId="85" builtinId="8" hidden="1"/>
    <cellStyle name="Link" xfId="87" builtinId="8" hidden="1"/>
    <cellStyle name="Link" xfId="89" builtinId="8" hidden="1"/>
    <cellStyle name="Link" xfId="91" builtinId="8" hidden="1"/>
    <cellStyle name="Link" xfId="93" builtinId="8" hidden="1"/>
    <cellStyle name="Link" xfId="95" builtinId="8" hidden="1"/>
    <cellStyle name="Link" xfId="97" builtinId="8" hidden="1"/>
    <cellStyle name="Link" xfId="99" builtinId="8" hidden="1"/>
    <cellStyle name="Link" xfId="101" builtinId="8" hidden="1"/>
    <cellStyle name="Link" xfId="103" builtinId="8" hidden="1"/>
    <cellStyle name="Link" xfId="105" builtinId="8" hidden="1"/>
    <cellStyle name="Link" xfId="107" builtinId="8" hidden="1"/>
    <cellStyle name="Link" xfId="109" builtinId="8" hidden="1"/>
    <cellStyle name="Link" xfId="111" builtinId="8" hidden="1"/>
    <cellStyle name="Link" xfId="113" builtinId="8" hidden="1"/>
    <cellStyle name="Link" xfId="115" builtinId="8" hidden="1"/>
    <cellStyle name="Link" xfId="117" builtinId="8" hidden="1"/>
    <cellStyle name="Link" xfId="119" builtinId="8" hidden="1"/>
    <cellStyle name="Link" xfId="121" builtinId="8" hidden="1"/>
    <cellStyle name="Link" xfId="123" builtinId="8" hidden="1"/>
    <cellStyle name="Link" xfId="125" builtinId="8" hidden="1"/>
    <cellStyle name="Link" xfId="127" builtinId="8" hidden="1"/>
    <cellStyle name="Link" xfId="129" builtinId="8" hidden="1"/>
    <cellStyle name="Link" xfId="131" builtinId="8" hidden="1"/>
    <cellStyle name="Link" xfId="133" builtinId="8" hidden="1"/>
    <cellStyle name="Link" xfId="135" builtinId="8" hidden="1"/>
    <cellStyle name="Link" xfId="137" builtinId="8" hidden="1"/>
    <cellStyle name="Link" xfId="139" builtinId="8" hidden="1"/>
    <cellStyle name="Link" xfId="141" builtinId="8" hidden="1"/>
    <cellStyle name="Link" xfId="143" builtinId="8" hidden="1"/>
    <cellStyle name="Link" xfId="145" builtinId="8" hidden="1"/>
    <cellStyle name="Link" xfId="147" builtinId="8" hidden="1"/>
    <cellStyle name="Link" xfId="149" builtinId="8" hidden="1"/>
    <cellStyle name="Link" xfId="151" builtinId="8" hidden="1"/>
    <cellStyle name="Link" xfId="153" builtinId="8" hidden="1"/>
    <cellStyle name="Link" xfId="155" builtinId="8" hidden="1"/>
    <cellStyle name="Link" xfId="157" builtinId="8" hidden="1"/>
    <cellStyle name="Link" xfId="159" builtinId="8" hidden="1"/>
    <cellStyle name="Link" xfId="161" builtinId="8" hidden="1"/>
    <cellStyle name="Link" xfId="163" builtinId="8" hidden="1"/>
    <cellStyle name="Link" xfId="165" builtinId="8" hidden="1"/>
    <cellStyle name="Link" xfId="167" builtinId="8" hidden="1"/>
    <cellStyle name="Link" xfId="169" builtinId="8" hidden="1"/>
    <cellStyle name="Link" xfId="171" builtinId="8" hidden="1"/>
    <cellStyle name="Link" xfId="173" builtinId="8" hidden="1"/>
    <cellStyle name="Link" xfId="175" builtinId="8" hidden="1"/>
    <cellStyle name="Link" xfId="177" builtinId="8" hidden="1"/>
    <cellStyle name="Link" xfId="179" builtinId="8" hidden="1"/>
    <cellStyle name="Link" xfId="181" builtinId="8" hidden="1"/>
    <cellStyle name="Link" xfId="183" builtinId="8" hidden="1"/>
    <cellStyle name="Link" xfId="185" builtinId="8" hidden="1"/>
    <cellStyle name="Link" xfId="187" builtinId="8" hidden="1"/>
    <cellStyle name="Link" xfId="189" builtinId="8" hidden="1"/>
    <cellStyle name="Link" xfId="191" builtinId="8" hidden="1"/>
    <cellStyle name="Link" xfId="193" builtinId="8" hidden="1"/>
    <cellStyle name="Link" xfId="195" builtinId="8" hidden="1"/>
    <cellStyle name="Link" xfId="197" builtinId="8" hidden="1"/>
    <cellStyle name="Link" xfId="199" builtinId="8" hidden="1"/>
    <cellStyle name="Link" xfId="201" builtinId="8" hidden="1"/>
    <cellStyle name="Link" xfId="203" builtinId="8" hidden="1"/>
    <cellStyle name="Link" xfId="205" builtinId="8" hidden="1"/>
    <cellStyle name="Link" xfId="207" builtinId="8" hidden="1"/>
    <cellStyle name="Link" xfId="209" builtinId="8" hidden="1"/>
    <cellStyle name="Link" xfId="211" builtinId="8" hidden="1"/>
    <cellStyle name="Link" xfId="213" builtinId="8" hidden="1"/>
    <cellStyle name="Link" xfId="215" builtinId="8" hidden="1"/>
    <cellStyle name="Link" xfId="217" builtinId="8" hidden="1"/>
    <cellStyle name="Link" xfId="219" builtinId="8" hidden="1"/>
    <cellStyle name="Link" xfId="221" builtinId="8" hidden="1"/>
    <cellStyle name="Link" xfId="223" builtinId="8" hidden="1"/>
    <cellStyle name="Link" xfId="225" builtinId="8" hidden="1"/>
    <cellStyle name="Link" xfId="227" builtinId="8" hidden="1"/>
    <cellStyle name="Link" xfId="229" builtinId="8" hidden="1"/>
    <cellStyle name="Link" xfId="231" builtinId="8" hidden="1"/>
    <cellStyle name="Link" xfId="233" builtinId="8" hidden="1"/>
    <cellStyle name="Link" xfId="235" builtinId="8" hidden="1"/>
    <cellStyle name="Link" xfId="237" builtinId="8" hidden="1"/>
    <cellStyle name="Link" xfId="239" builtinId="8" hidden="1"/>
    <cellStyle name="Link" xfId="241" builtinId="8" hidden="1"/>
    <cellStyle name="Link" xfId="243" builtinId="8" hidden="1"/>
    <cellStyle name="Link" xfId="245" builtinId="8" hidden="1"/>
    <cellStyle name="Link" xfId="247" builtinId="8" hidden="1"/>
    <cellStyle name="Link" xfId="249" builtinId="8" hidden="1"/>
    <cellStyle name="Link" xfId="251" builtinId="8" hidden="1"/>
    <cellStyle name="Link" xfId="253" builtinId="8" hidden="1"/>
    <cellStyle name="Link" xfId="255" builtinId="8" hidden="1"/>
    <cellStyle name="Link" xfId="257" builtinId="8" hidden="1"/>
    <cellStyle name="Link" xfId="259" builtinId="8" hidden="1"/>
    <cellStyle name="Link" xfId="261" builtinId="8" hidden="1"/>
    <cellStyle name="Link" xfId="263" builtinId="8" hidden="1"/>
    <cellStyle name="Link" xfId="265" builtinId="8" hidden="1"/>
    <cellStyle name="Link" xfId="267" builtinId="8" hidden="1"/>
    <cellStyle name="Link" xfId="269" builtinId="8" hidden="1"/>
    <cellStyle name="Link" xfId="271" builtinId="8" hidden="1"/>
    <cellStyle name="Link" xfId="273" builtinId="8" hidden="1"/>
    <cellStyle name="Link" xfId="275" builtinId="8" hidden="1"/>
    <cellStyle name="Link" xfId="277" builtinId="8" hidden="1"/>
    <cellStyle name="Link" xfId="279" builtinId="8" hidden="1"/>
    <cellStyle name="Link" xfId="281" builtinId="8" hidden="1"/>
    <cellStyle name="Link" xfId="283" builtinId="8" hidden="1"/>
    <cellStyle name="Link" xfId="285" builtinId="8" hidden="1"/>
    <cellStyle name="Link" xfId="287" builtinId="8" hidden="1"/>
    <cellStyle name="Link" xfId="289" builtinId="8" hidden="1"/>
    <cellStyle name="Link" xfId="291" builtinId="8" hidden="1"/>
    <cellStyle name="Link" xfId="293" builtinId="8" hidden="1"/>
    <cellStyle name="Link" xfId="295" builtinId="8" hidden="1"/>
    <cellStyle name="Link" xfId="297" builtinId="8" hidden="1"/>
    <cellStyle name="Link" xfId="299" builtinId="8" hidden="1"/>
    <cellStyle name="Link" xfId="301" builtinId="8" hidden="1"/>
    <cellStyle name="Link" xfId="303" builtinId="8" hidden="1"/>
    <cellStyle name="Link" xfId="305" builtinId="8" hidden="1"/>
    <cellStyle name="Link" xfId="307" builtinId="8" hidden="1"/>
    <cellStyle name="Link" xfId="309" builtinId="8" hidden="1"/>
    <cellStyle name="Link" xfId="311" builtinId="8" hidden="1"/>
    <cellStyle name="Link" xfId="313" builtinId="8" hidden="1"/>
    <cellStyle name="Link" xfId="315" builtinId="8" hidden="1"/>
    <cellStyle name="Link" xfId="317" builtinId="8" hidden="1"/>
    <cellStyle name="Link" xfId="319" builtinId="8" hidden="1"/>
    <cellStyle name="Link" xfId="321" builtinId="8" hidden="1"/>
    <cellStyle name="Link" xfId="323" builtinId="8" hidden="1"/>
    <cellStyle name="Link" xfId="325" builtinId="8" hidden="1"/>
    <cellStyle name="Link" xfId="327" builtinId="8" hidden="1"/>
    <cellStyle name="Link" xfId="329" builtinId="8" hidden="1"/>
    <cellStyle name="Link" xfId="331" builtinId="8" hidden="1"/>
    <cellStyle name="Link" xfId="333" builtinId="8" hidden="1"/>
    <cellStyle name="Link" xfId="335" builtinId="8" hidden="1"/>
    <cellStyle name="Link" xfId="337" builtinId="8" hidden="1"/>
    <cellStyle name="Link" xfId="339" builtinId="8" hidden="1"/>
    <cellStyle name="Link" xfId="341" builtinId="8" hidden="1"/>
    <cellStyle name="Link" xfId="343" builtinId="8" hidden="1"/>
    <cellStyle name="Link" xfId="346" builtinId="8"/>
    <cellStyle name="Standard" xfId="0" builtinId="0"/>
    <cellStyle name="Standard 2" xfId="345" xr:uid="{00000000-0005-0000-0000-000063010000}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Medium4"/>
  <colors>
    <mruColors>
      <color rgb="FF00FB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WEG%20Uhlandstr%2012/HW24/Gesamtabrechnung%202024.xlsx" TargetMode="External"/><Relationship Id="rId1" Type="http://schemas.openxmlformats.org/officeDocument/2006/relationships/externalLinkPath" Target="/Users/thomasbecker/Desktop/WEG%20Uhlandstr%2012/HW24/Gesamtabrechnung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izkörperfaktoren"/>
      <sheetName val="Hauptabrechnung"/>
      <sheetName val="Zahlungen 2024"/>
      <sheetName val="Becker"/>
      <sheetName val="W107 Becker"/>
      <sheetName val="Ablesung Becker"/>
      <sheetName val="Drost"/>
      <sheetName val="W207 Drost"/>
      <sheetName val="Ablesung Drost"/>
      <sheetName val="Bernsee"/>
      <sheetName val="W307 Bernsee"/>
      <sheetName val="Ablesung Bernsee"/>
      <sheetName val="Ballestriero"/>
      <sheetName val="W407 Ballestriero"/>
      <sheetName val="Ablesung Ballestriero"/>
      <sheetName val="Weber"/>
      <sheetName val="W507 Weber"/>
      <sheetName val="Ablesung Weber"/>
      <sheetName val="Gneiting"/>
      <sheetName val="W607 Gneiting"/>
      <sheetName val="Ablesung Gneiting"/>
      <sheetName val="Weiß-Fudisch"/>
      <sheetName val="Tabelle1"/>
    </sheetNames>
    <sheetDataSet>
      <sheetData sheetId="0"/>
      <sheetData sheetId="1"/>
      <sheetData sheetId="2"/>
      <sheetData sheetId="3">
        <row r="13">
          <cell r="H13">
            <v>1653.4811773678414</v>
          </cell>
        </row>
      </sheetData>
      <sheetData sheetId="4"/>
      <sheetData sheetId="5"/>
      <sheetData sheetId="6"/>
      <sheetData sheetId="7"/>
      <sheetData sheetId="8"/>
      <sheetData sheetId="9">
        <row r="13">
          <cell r="H13">
            <v>1235.3246335858844</v>
          </cell>
        </row>
      </sheetData>
      <sheetData sheetId="10"/>
      <sheetData sheetId="11"/>
      <sheetData sheetId="12">
        <row r="13">
          <cell r="H13">
            <v>953.19877956548567</v>
          </cell>
        </row>
      </sheetData>
      <sheetData sheetId="13"/>
      <sheetData sheetId="14"/>
      <sheetData sheetId="15">
        <row r="13">
          <cell r="H13">
            <v>624.97667599133456</v>
          </cell>
        </row>
      </sheetData>
      <sheetData sheetId="16"/>
      <sheetData sheetId="17"/>
      <sheetData sheetId="18">
        <row r="13">
          <cell r="H13">
            <v>590.81625644500139</v>
          </cell>
        </row>
      </sheetData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mailto:weg.uhlandstr.12@gmx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8"/>
  <sheetViews>
    <sheetView showRuler="0" workbookViewId="0">
      <selection activeCell="A61" sqref="A61"/>
    </sheetView>
  </sheetViews>
  <sheetFormatPr baseColWidth="10" defaultColWidth="9.1640625" defaultRowHeight="16" x14ac:dyDescent="0.2"/>
  <cols>
    <col min="1" max="1" width="13.83203125" customWidth="1"/>
    <col min="2" max="2" width="11.6640625" customWidth="1"/>
    <col min="3" max="3" width="12.5" bestFit="1" customWidth="1"/>
    <col min="4" max="4" width="13.83203125" bestFit="1" customWidth="1"/>
    <col min="5" max="5" width="7.5" bestFit="1" customWidth="1"/>
    <col min="6" max="6" width="10.1640625" customWidth="1"/>
    <col min="7" max="7" width="10.5" bestFit="1" customWidth="1"/>
    <col min="8" max="8" width="6" bestFit="1" customWidth="1"/>
    <col min="9" max="9" width="10" bestFit="1" customWidth="1"/>
    <col min="10" max="10" width="9" bestFit="1" customWidth="1"/>
    <col min="11" max="11" width="9.5" bestFit="1" customWidth="1"/>
    <col min="12" max="12" width="5.6640625" bestFit="1" customWidth="1"/>
    <col min="13" max="13" width="5.5" bestFit="1" customWidth="1"/>
    <col min="14" max="14" width="7.5" bestFit="1" customWidth="1"/>
    <col min="15" max="15" width="8.83203125" bestFit="1" customWidth="1"/>
    <col min="16" max="17" width="5" bestFit="1" customWidth="1"/>
    <col min="18" max="18" width="7.83203125" bestFit="1" customWidth="1"/>
    <col min="19" max="19" width="9" bestFit="1" customWidth="1"/>
    <col min="20" max="20" width="27.5" bestFit="1" customWidth="1"/>
  </cols>
  <sheetData>
    <row r="1" spans="1:20" x14ac:dyDescent="0.2">
      <c r="A1" s="68" t="s">
        <v>145</v>
      </c>
      <c r="E1" s="23" t="s">
        <v>146</v>
      </c>
    </row>
    <row r="2" spans="1:20" x14ac:dyDescent="0.2">
      <c r="A2" s="68" t="s">
        <v>147</v>
      </c>
      <c r="E2" s="23" t="s">
        <v>148</v>
      </c>
    </row>
    <row r="3" spans="1:20" x14ac:dyDescent="0.2">
      <c r="A3" s="68" t="s">
        <v>149</v>
      </c>
      <c r="E3" s="23" t="s">
        <v>150</v>
      </c>
    </row>
    <row r="4" spans="1:20" x14ac:dyDescent="0.2">
      <c r="A4" s="68" t="s">
        <v>151</v>
      </c>
      <c r="E4" s="23">
        <v>63</v>
      </c>
    </row>
    <row r="5" spans="1:20" x14ac:dyDescent="0.2">
      <c r="A5" s="68" t="s">
        <v>152</v>
      </c>
      <c r="F5" s="17">
        <v>45292</v>
      </c>
      <c r="G5" t="s">
        <v>301</v>
      </c>
    </row>
    <row r="7" spans="1:20" x14ac:dyDescent="0.2">
      <c r="A7" t="s">
        <v>153</v>
      </c>
      <c r="B7" s="62" t="s">
        <v>154</v>
      </c>
      <c r="C7" t="s">
        <v>155</v>
      </c>
      <c r="D7" t="s">
        <v>115</v>
      </c>
      <c r="E7" t="s">
        <v>156</v>
      </c>
      <c r="F7" t="s">
        <v>157</v>
      </c>
      <c r="G7" s="60" t="s">
        <v>158</v>
      </c>
      <c r="H7" t="s">
        <v>159</v>
      </c>
      <c r="I7" t="s">
        <v>160</v>
      </c>
      <c r="J7" t="s">
        <v>161</v>
      </c>
      <c r="K7" t="s">
        <v>162</v>
      </c>
      <c r="L7" t="s">
        <v>163</v>
      </c>
      <c r="M7" t="s">
        <v>164</v>
      </c>
      <c r="N7" t="s">
        <v>165</v>
      </c>
      <c r="O7" t="s">
        <v>166</v>
      </c>
      <c r="P7" t="s">
        <v>167</v>
      </c>
      <c r="Q7" t="s">
        <v>168</v>
      </c>
      <c r="R7" t="s">
        <v>169</v>
      </c>
      <c r="S7" s="62" t="s">
        <v>154</v>
      </c>
      <c r="T7" t="s">
        <v>170</v>
      </c>
    </row>
    <row r="8" spans="1:20" x14ac:dyDescent="0.2">
      <c r="B8" s="62"/>
      <c r="G8" s="60"/>
      <c r="S8" s="62"/>
    </row>
    <row r="9" spans="1:20" x14ac:dyDescent="0.2">
      <c r="A9" t="s">
        <v>17</v>
      </c>
      <c r="B9" s="62">
        <v>1.7170000000000001</v>
      </c>
      <c r="C9" t="s">
        <v>146</v>
      </c>
      <c r="D9" t="s">
        <v>171</v>
      </c>
      <c r="E9" t="s">
        <v>172</v>
      </c>
      <c r="G9" s="60">
        <v>90878776</v>
      </c>
      <c r="H9" t="s">
        <v>173</v>
      </c>
      <c r="I9">
        <v>100000114</v>
      </c>
      <c r="J9" t="s">
        <v>174</v>
      </c>
      <c r="K9">
        <v>900</v>
      </c>
      <c r="L9">
        <v>550</v>
      </c>
      <c r="M9">
        <v>100</v>
      </c>
      <c r="N9">
        <v>25</v>
      </c>
      <c r="O9">
        <v>2042</v>
      </c>
      <c r="P9">
        <v>1.1299999999999999</v>
      </c>
      <c r="Q9">
        <v>2.15</v>
      </c>
      <c r="R9">
        <v>63</v>
      </c>
      <c r="S9" s="62">
        <v>1.7170000000000001</v>
      </c>
      <c r="T9" t="s">
        <v>150</v>
      </c>
    </row>
    <row r="10" spans="1:20" x14ac:dyDescent="0.2">
      <c r="A10" t="s">
        <v>17</v>
      </c>
      <c r="B10" s="62">
        <v>0.88200000000000001</v>
      </c>
      <c r="C10" t="s">
        <v>146</v>
      </c>
      <c r="D10" t="s">
        <v>171</v>
      </c>
      <c r="E10" t="s">
        <v>172</v>
      </c>
      <c r="G10" s="60">
        <v>90878777</v>
      </c>
      <c r="H10" t="s">
        <v>175</v>
      </c>
      <c r="I10">
        <v>100000114</v>
      </c>
      <c r="J10" t="s">
        <v>176</v>
      </c>
      <c r="K10">
        <v>600</v>
      </c>
      <c r="L10">
        <v>550</v>
      </c>
      <c r="M10">
        <v>70</v>
      </c>
      <c r="N10">
        <v>25</v>
      </c>
      <c r="O10">
        <v>1049</v>
      </c>
      <c r="P10">
        <v>1.1299999999999999</v>
      </c>
      <c r="Q10">
        <v>2.15</v>
      </c>
      <c r="R10">
        <v>63</v>
      </c>
      <c r="S10" s="62">
        <v>0.88200000000000001</v>
      </c>
      <c r="T10" t="s">
        <v>150</v>
      </c>
    </row>
    <row r="11" spans="1:20" x14ac:dyDescent="0.2">
      <c r="A11" t="s">
        <v>17</v>
      </c>
      <c r="B11" s="62">
        <v>0.86699999999999999</v>
      </c>
      <c r="C11" t="s">
        <v>146</v>
      </c>
      <c r="D11" t="s">
        <v>171</v>
      </c>
      <c r="E11" t="s">
        <v>172</v>
      </c>
      <c r="G11" s="60">
        <v>90878778</v>
      </c>
      <c r="H11" t="s">
        <v>177</v>
      </c>
      <c r="I11">
        <v>100000114</v>
      </c>
      <c r="J11" t="s">
        <v>178</v>
      </c>
      <c r="K11">
        <v>800</v>
      </c>
      <c r="L11">
        <v>550</v>
      </c>
      <c r="M11">
        <v>70</v>
      </c>
      <c r="N11">
        <v>25</v>
      </c>
      <c r="O11">
        <v>1031</v>
      </c>
      <c r="P11">
        <v>1.1299999999999999</v>
      </c>
      <c r="Q11">
        <v>2.15</v>
      </c>
      <c r="R11">
        <v>63</v>
      </c>
      <c r="S11" s="62">
        <v>0.86699999999999999</v>
      </c>
      <c r="T11" t="s">
        <v>150</v>
      </c>
    </row>
    <row r="12" spans="1:20" x14ac:dyDescent="0.2">
      <c r="A12" t="s">
        <v>17</v>
      </c>
      <c r="B12" s="62">
        <v>0.86699999999999999</v>
      </c>
      <c r="C12" t="s">
        <v>146</v>
      </c>
      <c r="D12" t="s">
        <v>171</v>
      </c>
      <c r="E12" t="s">
        <v>172</v>
      </c>
      <c r="G12" s="60">
        <v>90878779</v>
      </c>
      <c r="H12" t="s">
        <v>179</v>
      </c>
      <c r="I12">
        <v>100000114</v>
      </c>
      <c r="J12" t="s">
        <v>178</v>
      </c>
      <c r="K12">
        <v>800</v>
      </c>
      <c r="L12">
        <v>550</v>
      </c>
      <c r="M12">
        <v>70</v>
      </c>
      <c r="N12">
        <v>25</v>
      </c>
      <c r="O12">
        <v>1031</v>
      </c>
      <c r="P12">
        <v>1.1299999999999999</v>
      </c>
      <c r="Q12">
        <v>2.15</v>
      </c>
      <c r="R12">
        <v>63</v>
      </c>
      <c r="S12" s="62">
        <v>0.86699999999999999</v>
      </c>
      <c r="T12" t="s">
        <v>150</v>
      </c>
    </row>
    <row r="13" spans="1:20" x14ac:dyDescent="0.2">
      <c r="A13" t="s">
        <v>17</v>
      </c>
      <c r="B13" s="62">
        <v>2.2890000000000001</v>
      </c>
      <c r="C13" t="s">
        <v>146</v>
      </c>
      <c r="D13" t="s">
        <v>171</v>
      </c>
      <c r="E13" t="s">
        <v>172</v>
      </c>
      <c r="G13" s="60">
        <v>90878780</v>
      </c>
      <c r="H13" t="s">
        <v>180</v>
      </c>
      <c r="I13">
        <v>100000114</v>
      </c>
      <c r="J13" t="s">
        <v>174</v>
      </c>
      <c r="K13">
        <v>1200</v>
      </c>
      <c r="L13">
        <v>550</v>
      </c>
      <c r="M13">
        <v>100</v>
      </c>
      <c r="N13">
        <v>25</v>
      </c>
      <c r="O13">
        <v>2723</v>
      </c>
      <c r="P13">
        <v>1.1299999999999999</v>
      </c>
      <c r="Q13">
        <v>2.15</v>
      </c>
      <c r="R13">
        <v>63</v>
      </c>
      <c r="S13" s="62">
        <v>2.2890000000000001</v>
      </c>
      <c r="T13" t="s">
        <v>150</v>
      </c>
    </row>
    <row r="14" spans="1:20" x14ac:dyDescent="0.2">
      <c r="A14" t="s">
        <v>17</v>
      </c>
      <c r="B14" s="62">
        <v>1.7170000000000001</v>
      </c>
      <c r="C14" t="s">
        <v>146</v>
      </c>
      <c r="D14" t="s">
        <v>171</v>
      </c>
      <c r="E14" t="s">
        <v>172</v>
      </c>
      <c r="G14" s="60">
        <v>90878786</v>
      </c>
      <c r="H14" t="s">
        <v>181</v>
      </c>
      <c r="I14">
        <v>100000114</v>
      </c>
      <c r="J14" t="s">
        <v>174</v>
      </c>
      <c r="K14">
        <v>900</v>
      </c>
      <c r="L14">
        <v>550</v>
      </c>
      <c r="M14">
        <v>100</v>
      </c>
      <c r="N14">
        <v>25</v>
      </c>
      <c r="O14">
        <v>2042</v>
      </c>
      <c r="P14">
        <v>1.1299999999999999</v>
      </c>
      <c r="Q14">
        <v>2.15</v>
      </c>
      <c r="R14">
        <v>63</v>
      </c>
      <c r="S14" s="62">
        <v>1.7170000000000001</v>
      </c>
      <c r="T14" t="s">
        <v>150</v>
      </c>
    </row>
    <row r="15" spans="1:20" x14ac:dyDescent="0.2">
      <c r="A15" t="s">
        <v>17</v>
      </c>
      <c r="B15" s="62">
        <v>1.175</v>
      </c>
      <c r="C15" t="s">
        <v>146</v>
      </c>
      <c r="D15" t="s">
        <v>171</v>
      </c>
      <c r="E15" t="s">
        <v>172</v>
      </c>
      <c r="G15" s="60">
        <v>90878787</v>
      </c>
      <c r="H15" t="s">
        <v>179</v>
      </c>
      <c r="I15">
        <v>100000114</v>
      </c>
      <c r="J15" t="s">
        <v>176</v>
      </c>
      <c r="K15">
        <v>800</v>
      </c>
      <c r="L15">
        <v>550</v>
      </c>
      <c r="M15">
        <v>70</v>
      </c>
      <c r="N15">
        <v>25</v>
      </c>
      <c r="O15">
        <v>1398</v>
      </c>
      <c r="P15">
        <v>1.1299999999999999</v>
      </c>
      <c r="Q15">
        <v>2.15</v>
      </c>
      <c r="R15">
        <v>63</v>
      </c>
      <c r="S15" s="62">
        <v>1.175</v>
      </c>
      <c r="T15" t="s">
        <v>150</v>
      </c>
    </row>
    <row r="16" spans="1:20" x14ac:dyDescent="0.2">
      <c r="A16" t="s">
        <v>17</v>
      </c>
      <c r="B16" s="62">
        <v>1.782</v>
      </c>
      <c r="C16" t="s">
        <v>146</v>
      </c>
      <c r="D16" t="s">
        <v>171</v>
      </c>
      <c r="E16" t="s">
        <v>172</v>
      </c>
      <c r="G16" s="60">
        <v>90878788</v>
      </c>
      <c r="H16" t="s">
        <v>182</v>
      </c>
      <c r="I16">
        <v>100000119</v>
      </c>
      <c r="J16" t="s">
        <v>183</v>
      </c>
      <c r="K16">
        <v>700</v>
      </c>
      <c r="L16">
        <v>550</v>
      </c>
      <c r="M16">
        <v>140</v>
      </c>
      <c r="N16">
        <v>25</v>
      </c>
      <c r="O16">
        <v>2120</v>
      </c>
      <c r="P16">
        <v>1.1299999999999999</v>
      </c>
      <c r="Q16">
        <v>2.15</v>
      </c>
      <c r="R16">
        <v>63</v>
      </c>
      <c r="S16" s="62">
        <v>1.782</v>
      </c>
      <c r="T16" t="s">
        <v>150</v>
      </c>
    </row>
    <row r="17" spans="1:20" x14ac:dyDescent="0.2">
      <c r="A17" t="s">
        <v>291</v>
      </c>
      <c r="B17" s="62">
        <v>0.58799999999999997</v>
      </c>
      <c r="C17" t="s">
        <v>146</v>
      </c>
      <c r="D17" t="s">
        <v>171</v>
      </c>
      <c r="E17" t="s">
        <v>184</v>
      </c>
      <c r="G17" s="60">
        <v>90878790</v>
      </c>
      <c r="H17" t="s">
        <v>185</v>
      </c>
      <c r="I17">
        <v>100000114</v>
      </c>
      <c r="J17" t="s">
        <v>176</v>
      </c>
      <c r="K17">
        <v>400</v>
      </c>
      <c r="L17">
        <v>550</v>
      </c>
      <c r="M17">
        <v>70</v>
      </c>
      <c r="N17">
        <v>25</v>
      </c>
      <c r="O17">
        <v>699</v>
      </c>
      <c r="P17">
        <v>1.1299999999999999</v>
      </c>
      <c r="Q17">
        <v>2.15</v>
      </c>
      <c r="R17">
        <v>63</v>
      </c>
      <c r="S17" s="62">
        <v>0.58799999999999997</v>
      </c>
      <c r="T17" t="s">
        <v>150</v>
      </c>
    </row>
    <row r="18" spans="1:20" x14ac:dyDescent="0.2">
      <c r="A18" t="s">
        <v>291</v>
      </c>
      <c r="B18" s="62">
        <v>1.764</v>
      </c>
      <c r="C18" t="s">
        <v>146</v>
      </c>
      <c r="D18" t="s">
        <v>171</v>
      </c>
      <c r="E18" t="s">
        <v>184</v>
      </c>
      <c r="G18" s="60">
        <v>90878791</v>
      </c>
      <c r="H18" t="s">
        <v>180</v>
      </c>
      <c r="I18">
        <v>100000114</v>
      </c>
      <c r="J18" t="s">
        <v>176</v>
      </c>
      <c r="K18">
        <v>1200</v>
      </c>
      <c r="L18">
        <v>550</v>
      </c>
      <c r="M18">
        <v>70</v>
      </c>
      <c r="N18">
        <v>25</v>
      </c>
      <c r="O18">
        <v>2098</v>
      </c>
      <c r="P18">
        <v>1.1299999999999999</v>
      </c>
      <c r="Q18">
        <v>2.15</v>
      </c>
      <c r="R18">
        <v>63</v>
      </c>
      <c r="S18" s="62">
        <v>1.764</v>
      </c>
      <c r="T18" t="s">
        <v>150</v>
      </c>
    </row>
    <row r="19" spans="1:20" x14ac:dyDescent="0.2">
      <c r="A19" t="s">
        <v>291</v>
      </c>
      <c r="B19" s="62">
        <v>1.175</v>
      </c>
      <c r="C19" t="s">
        <v>146</v>
      </c>
      <c r="D19" t="s">
        <v>171</v>
      </c>
      <c r="E19" t="s">
        <v>184</v>
      </c>
      <c r="G19" s="60">
        <v>90878792</v>
      </c>
      <c r="H19" t="s">
        <v>181</v>
      </c>
      <c r="I19">
        <v>100000114</v>
      </c>
      <c r="J19" t="s">
        <v>176</v>
      </c>
      <c r="K19">
        <v>800</v>
      </c>
      <c r="L19">
        <v>550</v>
      </c>
      <c r="M19">
        <v>70</v>
      </c>
      <c r="N19">
        <v>25</v>
      </c>
      <c r="O19">
        <v>1398</v>
      </c>
      <c r="P19">
        <v>1.1299999999999999</v>
      </c>
      <c r="Q19">
        <v>2.15</v>
      </c>
      <c r="R19">
        <v>63</v>
      </c>
      <c r="S19" s="62">
        <v>1.175</v>
      </c>
      <c r="T19" t="s">
        <v>150</v>
      </c>
    </row>
    <row r="20" spans="1:20" x14ac:dyDescent="0.2">
      <c r="A20" t="s">
        <v>291</v>
      </c>
      <c r="B20" s="62">
        <v>1.175</v>
      </c>
      <c r="C20" t="s">
        <v>146</v>
      </c>
      <c r="D20" t="s">
        <v>171</v>
      </c>
      <c r="E20" t="s">
        <v>184</v>
      </c>
      <c r="G20" s="60">
        <v>90878793</v>
      </c>
      <c r="H20" t="s">
        <v>186</v>
      </c>
      <c r="I20">
        <v>100000114</v>
      </c>
      <c r="J20" t="s">
        <v>176</v>
      </c>
      <c r="K20">
        <v>800</v>
      </c>
      <c r="L20">
        <v>550</v>
      </c>
      <c r="M20">
        <v>70</v>
      </c>
      <c r="N20">
        <v>25</v>
      </c>
      <c r="O20">
        <v>1398</v>
      </c>
      <c r="P20">
        <v>1.1299999999999999</v>
      </c>
      <c r="Q20">
        <v>2.15</v>
      </c>
      <c r="R20">
        <v>63</v>
      </c>
      <c r="S20" s="62">
        <v>1.175</v>
      </c>
      <c r="T20" t="s">
        <v>150</v>
      </c>
    </row>
    <row r="21" spans="1:20" x14ac:dyDescent="0.2">
      <c r="A21" t="s">
        <v>291</v>
      </c>
      <c r="B21" s="62">
        <v>0.58799999999999997</v>
      </c>
      <c r="C21" t="s">
        <v>146</v>
      </c>
      <c r="D21" t="s">
        <v>171</v>
      </c>
      <c r="E21" t="s">
        <v>184</v>
      </c>
      <c r="G21" s="60">
        <v>90878794</v>
      </c>
      <c r="H21" t="s">
        <v>175</v>
      </c>
      <c r="I21">
        <v>100000114</v>
      </c>
      <c r="J21" t="s">
        <v>176</v>
      </c>
      <c r="K21">
        <v>400</v>
      </c>
      <c r="L21">
        <v>550</v>
      </c>
      <c r="M21">
        <v>70</v>
      </c>
      <c r="N21">
        <v>25</v>
      </c>
      <c r="O21">
        <v>699</v>
      </c>
      <c r="P21">
        <v>1.1299999999999999</v>
      </c>
      <c r="Q21">
        <v>2.15</v>
      </c>
      <c r="R21">
        <v>63</v>
      </c>
      <c r="S21" s="62">
        <v>0.58799999999999997</v>
      </c>
      <c r="T21" t="s">
        <v>150</v>
      </c>
    </row>
    <row r="22" spans="1:20" x14ac:dyDescent="0.2">
      <c r="A22" t="s">
        <v>291</v>
      </c>
      <c r="B22" s="62">
        <v>1.23</v>
      </c>
      <c r="C22" t="s">
        <v>146</v>
      </c>
      <c r="D22" t="s">
        <v>171</v>
      </c>
      <c r="E22" t="s">
        <v>184</v>
      </c>
      <c r="G22" s="60">
        <v>90878795</v>
      </c>
      <c r="H22" t="s">
        <v>173</v>
      </c>
      <c r="I22">
        <v>200001050</v>
      </c>
      <c r="J22" t="s">
        <v>173</v>
      </c>
      <c r="K22">
        <v>635</v>
      </c>
      <c r="L22">
        <v>1773</v>
      </c>
      <c r="M22">
        <v>70</v>
      </c>
      <c r="N22">
        <v>0</v>
      </c>
      <c r="O22">
        <v>1375</v>
      </c>
      <c r="P22">
        <v>1.28</v>
      </c>
      <c r="Q22">
        <v>2.27</v>
      </c>
      <c r="R22">
        <v>63</v>
      </c>
      <c r="S22" s="62">
        <v>1.23</v>
      </c>
      <c r="T22" t="s">
        <v>150</v>
      </c>
    </row>
    <row r="23" spans="1:20" x14ac:dyDescent="0.2">
      <c r="A23" t="s">
        <v>291</v>
      </c>
      <c r="B23" s="62">
        <v>1.47</v>
      </c>
      <c r="C23" t="s">
        <v>146</v>
      </c>
      <c r="D23" t="s">
        <v>171</v>
      </c>
      <c r="E23" t="s">
        <v>184</v>
      </c>
      <c r="G23" s="60">
        <v>90878796</v>
      </c>
      <c r="H23" t="s">
        <v>182</v>
      </c>
      <c r="I23">
        <v>100000114</v>
      </c>
      <c r="J23" t="s">
        <v>176</v>
      </c>
      <c r="K23">
        <v>1000</v>
      </c>
      <c r="L23">
        <v>550</v>
      </c>
      <c r="M23">
        <v>70</v>
      </c>
      <c r="N23">
        <v>25</v>
      </c>
      <c r="O23">
        <v>1748</v>
      </c>
      <c r="P23">
        <v>1.1299999999999999</v>
      </c>
      <c r="Q23">
        <v>2.15</v>
      </c>
      <c r="R23">
        <v>63</v>
      </c>
      <c r="S23" s="62">
        <v>1.47</v>
      </c>
      <c r="T23" t="s">
        <v>150</v>
      </c>
    </row>
    <row r="24" spans="1:20" x14ac:dyDescent="0.2">
      <c r="A24" t="s">
        <v>63</v>
      </c>
      <c r="B24" s="62">
        <v>0.73499999999999999</v>
      </c>
      <c r="C24" t="s">
        <v>146</v>
      </c>
      <c r="D24" t="s">
        <v>171</v>
      </c>
      <c r="E24" t="s">
        <v>187</v>
      </c>
      <c r="G24" s="60">
        <v>90878805</v>
      </c>
      <c r="H24" t="s">
        <v>185</v>
      </c>
      <c r="I24">
        <v>100000114</v>
      </c>
      <c r="J24" t="s">
        <v>176</v>
      </c>
      <c r="K24">
        <v>500</v>
      </c>
      <c r="L24">
        <v>550</v>
      </c>
      <c r="M24">
        <v>70</v>
      </c>
      <c r="N24">
        <v>25</v>
      </c>
      <c r="O24">
        <v>874</v>
      </c>
      <c r="P24">
        <v>1.1299999999999999</v>
      </c>
      <c r="Q24">
        <v>2.15</v>
      </c>
      <c r="R24">
        <v>63</v>
      </c>
      <c r="S24" s="62">
        <v>0.73499999999999999</v>
      </c>
      <c r="T24" t="s">
        <v>150</v>
      </c>
    </row>
    <row r="25" spans="1:20" x14ac:dyDescent="0.2">
      <c r="A25" t="s">
        <v>63</v>
      </c>
      <c r="B25" s="62">
        <v>1.7170000000000001</v>
      </c>
      <c r="C25" t="s">
        <v>146</v>
      </c>
      <c r="D25" t="s">
        <v>171</v>
      </c>
      <c r="E25" t="s">
        <v>187</v>
      </c>
      <c r="G25" s="60">
        <v>90878806</v>
      </c>
      <c r="H25" t="s">
        <v>173</v>
      </c>
      <c r="I25">
        <v>100000114</v>
      </c>
      <c r="J25" t="s">
        <v>174</v>
      </c>
      <c r="K25">
        <v>900</v>
      </c>
      <c r="L25">
        <v>550</v>
      </c>
      <c r="M25">
        <v>100</v>
      </c>
      <c r="N25">
        <v>25</v>
      </c>
      <c r="O25">
        <v>2042</v>
      </c>
      <c r="P25">
        <v>1.1299999999999999</v>
      </c>
      <c r="Q25">
        <v>2.15</v>
      </c>
      <c r="R25">
        <v>63</v>
      </c>
      <c r="S25" s="62">
        <v>1.7170000000000001</v>
      </c>
      <c r="T25" t="s">
        <v>150</v>
      </c>
    </row>
    <row r="26" spans="1:20" x14ac:dyDescent="0.2">
      <c r="A26" t="s">
        <v>63</v>
      </c>
      <c r="B26" s="62">
        <v>0.75800000000000001</v>
      </c>
      <c r="C26" t="s">
        <v>146</v>
      </c>
      <c r="D26" t="s">
        <v>171</v>
      </c>
      <c r="E26" t="s">
        <v>187</v>
      </c>
      <c r="G26" s="60">
        <v>90878807</v>
      </c>
      <c r="H26" t="s">
        <v>188</v>
      </c>
      <c r="I26">
        <v>100000114</v>
      </c>
      <c r="J26" t="s">
        <v>178</v>
      </c>
      <c r="K26">
        <v>700</v>
      </c>
      <c r="L26">
        <v>550</v>
      </c>
      <c r="M26">
        <v>70</v>
      </c>
      <c r="N26">
        <v>25</v>
      </c>
      <c r="O26">
        <v>902</v>
      </c>
      <c r="P26">
        <v>1.1299999999999999</v>
      </c>
      <c r="Q26">
        <v>2.15</v>
      </c>
      <c r="R26">
        <v>63</v>
      </c>
      <c r="S26" s="62">
        <v>0.75800000000000001</v>
      </c>
      <c r="T26" t="s">
        <v>150</v>
      </c>
    </row>
    <row r="27" spans="1:20" x14ac:dyDescent="0.2">
      <c r="A27" t="s">
        <v>63</v>
      </c>
      <c r="B27" s="62">
        <v>0.75800000000000001</v>
      </c>
      <c r="C27" t="s">
        <v>146</v>
      </c>
      <c r="D27" t="s">
        <v>171</v>
      </c>
      <c r="E27" t="s">
        <v>187</v>
      </c>
      <c r="G27" s="60">
        <v>90878808</v>
      </c>
      <c r="H27" t="s">
        <v>189</v>
      </c>
      <c r="I27">
        <v>100000114</v>
      </c>
      <c r="J27" t="s">
        <v>178</v>
      </c>
      <c r="K27">
        <v>700</v>
      </c>
      <c r="L27">
        <v>550</v>
      </c>
      <c r="M27">
        <v>70</v>
      </c>
      <c r="N27">
        <v>25</v>
      </c>
      <c r="O27">
        <v>902</v>
      </c>
      <c r="P27">
        <v>1.1299999999999999</v>
      </c>
      <c r="Q27">
        <v>2.15</v>
      </c>
      <c r="R27">
        <v>63</v>
      </c>
      <c r="S27" s="62">
        <v>0.75800000000000001</v>
      </c>
      <c r="T27" t="s">
        <v>150</v>
      </c>
    </row>
    <row r="28" spans="1:20" x14ac:dyDescent="0.2">
      <c r="A28" t="s">
        <v>63</v>
      </c>
      <c r="B28" s="62">
        <v>0.73499999999999999</v>
      </c>
      <c r="C28" t="s">
        <v>146</v>
      </c>
      <c r="D28" t="s">
        <v>171</v>
      </c>
      <c r="E28" t="s">
        <v>187</v>
      </c>
      <c r="G28" s="60">
        <v>90878809</v>
      </c>
      <c r="H28" t="s">
        <v>175</v>
      </c>
      <c r="I28">
        <v>100000114</v>
      </c>
      <c r="J28" t="s">
        <v>176</v>
      </c>
      <c r="K28">
        <v>500</v>
      </c>
      <c r="L28">
        <v>550</v>
      </c>
      <c r="M28">
        <v>70</v>
      </c>
      <c r="N28">
        <v>25</v>
      </c>
      <c r="O28">
        <v>874</v>
      </c>
      <c r="P28">
        <v>1.1299999999999999</v>
      </c>
      <c r="Q28">
        <v>2.15</v>
      </c>
      <c r="R28">
        <v>63</v>
      </c>
      <c r="S28" s="62">
        <v>0.73499999999999999</v>
      </c>
      <c r="T28" t="s">
        <v>150</v>
      </c>
    </row>
    <row r="29" spans="1:20" x14ac:dyDescent="0.2">
      <c r="A29" t="s">
        <v>63</v>
      </c>
      <c r="B29" s="62">
        <v>1.335</v>
      </c>
      <c r="C29" t="s">
        <v>146</v>
      </c>
      <c r="D29" t="s">
        <v>171</v>
      </c>
      <c r="E29" t="s">
        <v>187</v>
      </c>
      <c r="G29" s="60">
        <v>90878810</v>
      </c>
      <c r="H29" t="s">
        <v>180</v>
      </c>
      <c r="I29">
        <v>100000114</v>
      </c>
      <c r="J29" t="s">
        <v>174</v>
      </c>
      <c r="K29">
        <v>700</v>
      </c>
      <c r="L29">
        <v>550</v>
      </c>
      <c r="M29">
        <v>100</v>
      </c>
      <c r="N29">
        <v>25</v>
      </c>
      <c r="O29">
        <v>1588</v>
      </c>
      <c r="P29">
        <v>1.1299999999999999</v>
      </c>
      <c r="Q29">
        <v>2.15</v>
      </c>
      <c r="R29">
        <v>63</v>
      </c>
      <c r="S29" s="62">
        <v>1.335</v>
      </c>
      <c r="T29" t="s">
        <v>150</v>
      </c>
    </row>
    <row r="30" spans="1:20" x14ac:dyDescent="0.2">
      <c r="A30" t="s">
        <v>63</v>
      </c>
      <c r="B30" s="62">
        <v>1.9079999999999999</v>
      </c>
      <c r="C30" t="s">
        <v>146</v>
      </c>
      <c r="D30" t="s">
        <v>171</v>
      </c>
      <c r="E30" t="s">
        <v>187</v>
      </c>
      <c r="G30" s="60">
        <v>90878811</v>
      </c>
      <c r="H30" t="s">
        <v>181</v>
      </c>
      <c r="I30">
        <v>100000114</v>
      </c>
      <c r="J30" t="s">
        <v>174</v>
      </c>
      <c r="K30">
        <v>1000</v>
      </c>
      <c r="L30">
        <v>550</v>
      </c>
      <c r="M30">
        <v>100</v>
      </c>
      <c r="N30">
        <v>25</v>
      </c>
      <c r="O30">
        <v>2269</v>
      </c>
      <c r="P30">
        <v>1.1299999999999999</v>
      </c>
      <c r="Q30">
        <v>2.15</v>
      </c>
      <c r="R30">
        <v>63</v>
      </c>
      <c r="S30" s="62">
        <v>1.9079999999999999</v>
      </c>
      <c r="T30" t="s">
        <v>150</v>
      </c>
    </row>
    <row r="31" spans="1:20" x14ac:dyDescent="0.2">
      <c r="A31" t="s">
        <v>63</v>
      </c>
      <c r="B31" s="62">
        <v>0.97499999999999998</v>
      </c>
      <c r="C31" t="s">
        <v>146</v>
      </c>
      <c r="D31" t="s">
        <v>171</v>
      </c>
      <c r="E31" t="s">
        <v>187</v>
      </c>
      <c r="G31" s="60">
        <v>90878812</v>
      </c>
      <c r="H31" t="s">
        <v>182</v>
      </c>
      <c r="I31">
        <v>100000114</v>
      </c>
      <c r="J31" t="s">
        <v>178</v>
      </c>
      <c r="K31">
        <v>900</v>
      </c>
      <c r="L31">
        <v>550</v>
      </c>
      <c r="M31">
        <v>70</v>
      </c>
      <c r="N31">
        <v>25</v>
      </c>
      <c r="O31">
        <v>1160</v>
      </c>
      <c r="P31">
        <v>1.1299999999999999</v>
      </c>
      <c r="Q31">
        <v>2.15</v>
      </c>
      <c r="R31">
        <v>63</v>
      </c>
      <c r="S31" s="62">
        <v>0.97499999999999998</v>
      </c>
      <c r="T31" t="s">
        <v>150</v>
      </c>
    </row>
    <row r="32" spans="1:20" x14ac:dyDescent="0.2">
      <c r="A32" t="s">
        <v>20</v>
      </c>
      <c r="B32" s="62">
        <v>0.73499999999999999</v>
      </c>
      <c r="C32" t="s">
        <v>146</v>
      </c>
      <c r="D32" t="s">
        <v>171</v>
      </c>
      <c r="E32" t="s">
        <v>190</v>
      </c>
      <c r="G32" s="60">
        <v>90878797</v>
      </c>
      <c r="H32" t="s">
        <v>185</v>
      </c>
      <c r="I32">
        <v>100000114</v>
      </c>
      <c r="J32" t="s">
        <v>176</v>
      </c>
      <c r="K32">
        <v>500</v>
      </c>
      <c r="L32">
        <v>550</v>
      </c>
      <c r="M32">
        <v>70</v>
      </c>
      <c r="N32">
        <v>25</v>
      </c>
      <c r="O32">
        <v>874</v>
      </c>
      <c r="P32">
        <v>1.1299999999999999</v>
      </c>
      <c r="Q32">
        <v>2.15</v>
      </c>
      <c r="R32">
        <v>63</v>
      </c>
      <c r="S32" s="62">
        <v>0.73499999999999999</v>
      </c>
      <c r="T32" t="s">
        <v>150</v>
      </c>
    </row>
    <row r="33" spans="1:20" x14ac:dyDescent="0.2">
      <c r="A33" t="s">
        <v>20</v>
      </c>
      <c r="B33" s="62">
        <v>1.2729999999999999</v>
      </c>
      <c r="C33" t="s">
        <v>146</v>
      </c>
      <c r="D33" t="s">
        <v>171</v>
      </c>
      <c r="E33" t="s">
        <v>190</v>
      </c>
      <c r="G33" s="60">
        <v>90878798</v>
      </c>
      <c r="H33" t="s">
        <v>188</v>
      </c>
      <c r="I33">
        <v>100000119</v>
      </c>
      <c r="J33" t="s">
        <v>183</v>
      </c>
      <c r="K33">
        <v>500</v>
      </c>
      <c r="L33">
        <v>550</v>
      </c>
      <c r="M33">
        <v>140</v>
      </c>
      <c r="N33">
        <v>25</v>
      </c>
      <c r="O33">
        <v>1514</v>
      </c>
      <c r="P33">
        <v>1.1299999999999999</v>
      </c>
      <c r="Q33">
        <v>2.15</v>
      </c>
      <c r="R33">
        <v>63</v>
      </c>
      <c r="S33" s="62">
        <v>1.2729999999999999</v>
      </c>
      <c r="T33" t="s">
        <v>150</v>
      </c>
    </row>
    <row r="34" spans="1:20" x14ac:dyDescent="0.2">
      <c r="A34" t="s">
        <v>20</v>
      </c>
      <c r="B34" s="62">
        <v>2.016</v>
      </c>
      <c r="C34" t="s">
        <v>146</v>
      </c>
      <c r="D34" t="s">
        <v>171</v>
      </c>
      <c r="E34" t="s">
        <v>190</v>
      </c>
      <c r="G34" s="60">
        <v>90878799</v>
      </c>
      <c r="H34" t="s">
        <v>180</v>
      </c>
      <c r="I34">
        <v>100000119</v>
      </c>
      <c r="J34" t="s">
        <v>183</v>
      </c>
      <c r="K34">
        <v>1200</v>
      </c>
      <c r="L34">
        <v>330</v>
      </c>
      <c r="M34">
        <v>140</v>
      </c>
      <c r="N34">
        <v>25</v>
      </c>
      <c r="O34">
        <v>3634</v>
      </c>
      <c r="P34">
        <v>1.1299999999999999</v>
      </c>
      <c r="Q34">
        <v>2.15</v>
      </c>
      <c r="R34">
        <v>63</v>
      </c>
      <c r="S34" s="62">
        <v>2.016</v>
      </c>
      <c r="T34" t="s">
        <v>150</v>
      </c>
    </row>
    <row r="35" spans="1:20" x14ac:dyDescent="0.2">
      <c r="A35" t="s">
        <v>20</v>
      </c>
      <c r="B35" s="62">
        <v>0.67900000000000005</v>
      </c>
      <c r="C35" t="s">
        <v>146</v>
      </c>
      <c r="D35" t="s">
        <v>171</v>
      </c>
      <c r="E35" t="s">
        <v>190</v>
      </c>
      <c r="G35" s="60">
        <v>90878800</v>
      </c>
      <c r="H35" t="s">
        <v>181</v>
      </c>
      <c r="I35">
        <v>100000114</v>
      </c>
      <c r="J35" t="s">
        <v>176</v>
      </c>
      <c r="K35">
        <v>700</v>
      </c>
      <c r="L35">
        <v>330</v>
      </c>
      <c r="M35">
        <v>70</v>
      </c>
      <c r="N35">
        <v>25</v>
      </c>
      <c r="O35">
        <v>1224</v>
      </c>
      <c r="P35">
        <v>1.1299999999999999</v>
      </c>
      <c r="Q35">
        <v>2.15</v>
      </c>
      <c r="R35">
        <v>63</v>
      </c>
      <c r="S35" s="62">
        <v>0.67900000000000005</v>
      </c>
      <c r="T35" t="s">
        <v>150</v>
      </c>
    </row>
    <row r="36" spans="1:20" x14ac:dyDescent="0.2">
      <c r="A36" t="s">
        <v>20</v>
      </c>
      <c r="B36" s="62">
        <v>2.0979999999999999</v>
      </c>
      <c r="C36" t="s">
        <v>146</v>
      </c>
      <c r="D36" s="116" t="s">
        <v>171</v>
      </c>
      <c r="E36" t="s">
        <v>190</v>
      </c>
      <c r="G36" s="60">
        <v>90878801</v>
      </c>
      <c r="H36" t="s">
        <v>186</v>
      </c>
      <c r="I36">
        <v>100000114</v>
      </c>
      <c r="J36" t="s">
        <v>174</v>
      </c>
      <c r="K36">
        <v>1100</v>
      </c>
      <c r="L36">
        <v>550</v>
      </c>
      <c r="M36">
        <v>100</v>
      </c>
      <c r="N36">
        <v>25</v>
      </c>
      <c r="O36">
        <v>2496</v>
      </c>
      <c r="P36">
        <v>1.1299999999999999</v>
      </c>
      <c r="Q36">
        <v>2.15</v>
      </c>
      <c r="R36">
        <v>63</v>
      </c>
      <c r="S36" s="62">
        <v>2.0979999999999999</v>
      </c>
      <c r="T36" t="s">
        <v>150</v>
      </c>
    </row>
    <row r="37" spans="1:20" x14ac:dyDescent="0.2">
      <c r="A37" t="s">
        <v>20</v>
      </c>
      <c r="B37" s="62">
        <v>0.95399999999999996</v>
      </c>
      <c r="C37" t="s">
        <v>146</v>
      </c>
      <c r="D37" t="s">
        <v>171</v>
      </c>
      <c r="E37" t="s">
        <v>190</v>
      </c>
      <c r="G37" s="60">
        <v>90878802</v>
      </c>
      <c r="H37" t="s">
        <v>175</v>
      </c>
      <c r="I37">
        <v>100000114</v>
      </c>
      <c r="J37" t="s">
        <v>174</v>
      </c>
      <c r="K37">
        <v>500</v>
      </c>
      <c r="L37">
        <v>550</v>
      </c>
      <c r="M37">
        <v>100</v>
      </c>
      <c r="N37">
        <v>25</v>
      </c>
      <c r="O37">
        <v>1135</v>
      </c>
      <c r="P37">
        <v>1.1299999999999999</v>
      </c>
      <c r="Q37">
        <v>2.15</v>
      </c>
      <c r="R37">
        <v>63</v>
      </c>
      <c r="S37" s="62">
        <v>0.95399999999999996</v>
      </c>
      <c r="T37" t="s">
        <v>150</v>
      </c>
    </row>
    <row r="38" spans="1:20" x14ac:dyDescent="0.2">
      <c r="A38" t="s">
        <v>20</v>
      </c>
      <c r="B38" s="62">
        <v>1.2729999999999999</v>
      </c>
      <c r="C38" t="s">
        <v>146</v>
      </c>
      <c r="D38" t="s">
        <v>171</v>
      </c>
      <c r="E38" t="s">
        <v>190</v>
      </c>
      <c r="G38" s="60">
        <v>90878803</v>
      </c>
      <c r="H38" t="s">
        <v>173</v>
      </c>
      <c r="I38">
        <v>100000119</v>
      </c>
      <c r="J38" t="s">
        <v>183</v>
      </c>
      <c r="K38">
        <v>500</v>
      </c>
      <c r="L38">
        <v>550</v>
      </c>
      <c r="M38">
        <v>140</v>
      </c>
      <c r="N38">
        <v>25</v>
      </c>
      <c r="O38">
        <v>1514</v>
      </c>
      <c r="P38">
        <v>1.1299999999999999</v>
      </c>
      <c r="Q38">
        <v>2.15</v>
      </c>
      <c r="R38">
        <v>63</v>
      </c>
      <c r="S38" s="62">
        <v>1.2729999999999999</v>
      </c>
      <c r="T38" t="s">
        <v>150</v>
      </c>
    </row>
    <row r="39" spans="1:20" x14ac:dyDescent="0.2">
      <c r="A39" t="s">
        <v>20</v>
      </c>
      <c r="B39" s="62">
        <v>1.335</v>
      </c>
      <c r="C39" t="s">
        <v>146</v>
      </c>
      <c r="D39" t="s">
        <v>171</v>
      </c>
      <c r="E39" t="s">
        <v>190</v>
      </c>
      <c r="G39" s="60">
        <v>90878804</v>
      </c>
      <c r="H39" t="s">
        <v>182</v>
      </c>
      <c r="I39">
        <v>100000114</v>
      </c>
      <c r="J39" t="s">
        <v>174</v>
      </c>
      <c r="K39">
        <v>700</v>
      </c>
      <c r="L39">
        <v>550</v>
      </c>
      <c r="M39">
        <v>100</v>
      </c>
      <c r="N39">
        <v>25</v>
      </c>
      <c r="O39">
        <v>1588</v>
      </c>
      <c r="P39">
        <v>1.1299999999999999</v>
      </c>
      <c r="Q39">
        <v>2.15</v>
      </c>
      <c r="R39">
        <v>63</v>
      </c>
      <c r="S39" s="62">
        <v>1.335</v>
      </c>
      <c r="T39" t="s">
        <v>150</v>
      </c>
    </row>
    <row r="40" spans="1:20" x14ac:dyDescent="0.2">
      <c r="A40" t="s">
        <v>253</v>
      </c>
      <c r="B40" s="62">
        <v>0.73499999999999999</v>
      </c>
      <c r="C40" t="s">
        <v>146</v>
      </c>
      <c r="D40" t="s">
        <v>171</v>
      </c>
      <c r="E40" t="s">
        <v>191</v>
      </c>
      <c r="G40" s="60">
        <v>90878819</v>
      </c>
      <c r="H40" t="s">
        <v>185</v>
      </c>
      <c r="I40">
        <v>100000114</v>
      </c>
      <c r="J40" t="s">
        <v>176</v>
      </c>
      <c r="K40">
        <v>500</v>
      </c>
      <c r="L40">
        <v>550</v>
      </c>
      <c r="M40">
        <v>70</v>
      </c>
      <c r="N40">
        <v>25</v>
      </c>
      <c r="O40">
        <v>874</v>
      </c>
      <c r="P40">
        <v>1.1299999999999999</v>
      </c>
      <c r="Q40">
        <v>2.15</v>
      </c>
      <c r="R40">
        <v>63</v>
      </c>
      <c r="S40" s="62">
        <v>0.73499999999999999</v>
      </c>
      <c r="T40" t="s">
        <v>150</v>
      </c>
    </row>
    <row r="41" spans="1:20" x14ac:dyDescent="0.2">
      <c r="A41" t="s">
        <v>253</v>
      </c>
      <c r="B41" s="62">
        <v>1.2729999999999999</v>
      </c>
      <c r="C41" t="s">
        <v>146</v>
      </c>
      <c r="D41" t="s">
        <v>171</v>
      </c>
      <c r="E41" t="s">
        <v>191</v>
      </c>
      <c r="G41" s="60">
        <v>90878813</v>
      </c>
      <c r="H41" t="s">
        <v>173</v>
      </c>
      <c r="I41">
        <v>100000119</v>
      </c>
      <c r="J41" t="s">
        <v>183</v>
      </c>
      <c r="K41">
        <v>500</v>
      </c>
      <c r="L41">
        <v>550</v>
      </c>
      <c r="M41">
        <v>140</v>
      </c>
      <c r="N41">
        <v>25</v>
      </c>
      <c r="O41">
        <v>1514</v>
      </c>
      <c r="P41">
        <v>1.1299999999999999</v>
      </c>
      <c r="Q41">
        <v>2.15</v>
      </c>
      <c r="R41">
        <v>63</v>
      </c>
      <c r="S41" s="62">
        <v>1.2729999999999999</v>
      </c>
      <c r="T41" t="s">
        <v>150</v>
      </c>
    </row>
    <row r="42" spans="1:20" x14ac:dyDescent="0.2">
      <c r="A42" t="s">
        <v>253</v>
      </c>
      <c r="B42" s="62">
        <v>0.95399999999999996</v>
      </c>
      <c r="C42" t="s">
        <v>146</v>
      </c>
      <c r="D42" t="s">
        <v>171</v>
      </c>
      <c r="E42" t="s">
        <v>191</v>
      </c>
      <c r="G42" s="60">
        <v>90878814</v>
      </c>
      <c r="H42" t="s">
        <v>175</v>
      </c>
      <c r="I42">
        <v>100000114</v>
      </c>
      <c r="J42" t="s">
        <v>174</v>
      </c>
      <c r="K42">
        <v>500</v>
      </c>
      <c r="L42">
        <v>550</v>
      </c>
      <c r="M42">
        <v>100</v>
      </c>
      <c r="N42">
        <v>25</v>
      </c>
      <c r="O42">
        <v>1135</v>
      </c>
      <c r="P42">
        <v>1.1299999999999999</v>
      </c>
      <c r="Q42">
        <v>2.15</v>
      </c>
      <c r="R42">
        <v>63</v>
      </c>
      <c r="S42" s="62">
        <v>0.95399999999999996</v>
      </c>
      <c r="T42" t="s">
        <v>150</v>
      </c>
    </row>
    <row r="43" spans="1:20" x14ac:dyDescent="0.2">
      <c r="A43" t="s">
        <v>253</v>
      </c>
      <c r="B43" s="62">
        <v>3.0550000000000002</v>
      </c>
      <c r="C43" t="s">
        <v>146</v>
      </c>
      <c r="D43" t="s">
        <v>171</v>
      </c>
      <c r="E43" t="s">
        <v>191</v>
      </c>
      <c r="G43" s="60">
        <v>90878815</v>
      </c>
      <c r="H43" t="s">
        <v>180</v>
      </c>
      <c r="I43">
        <v>100000119</v>
      </c>
      <c r="J43" t="s">
        <v>183</v>
      </c>
      <c r="K43">
        <v>1200</v>
      </c>
      <c r="L43">
        <v>550</v>
      </c>
      <c r="M43">
        <v>140</v>
      </c>
      <c r="N43">
        <v>25</v>
      </c>
      <c r="O43">
        <v>3634</v>
      </c>
      <c r="P43">
        <v>1.1299999999999999</v>
      </c>
      <c r="Q43">
        <v>2.15</v>
      </c>
      <c r="R43">
        <v>63</v>
      </c>
      <c r="S43" s="62">
        <v>3.0550000000000002</v>
      </c>
      <c r="T43" t="s">
        <v>150</v>
      </c>
    </row>
    <row r="44" spans="1:20" x14ac:dyDescent="0.2">
      <c r="A44" t="s">
        <v>253</v>
      </c>
      <c r="B44" s="62">
        <v>1.0289999999999999</v>
      </c>
      <c r="C44" t="s">
        <v>146</v>
      </c>
      <c r="D44" t="s">
        <v>171</v>
      </c>
      <c r="E44" t="s">
        <v>191</v>
      </c>
      <c r="G44" s="60">
        <v>90878816</v>
      </c>
      <c r="H44" t="s">
        <v>181</v>
      </c>
      <c r="I44">
        <v>100000114</v>
      </c>
      <c r="J44" t="s">
        <v>176</v>
      </c>
      <c r="K44">
        <v>700</v>
      </c>
      <c r="L44">
        <v>550</v>
      </c>
      <c r="M44">
        <v>70</v>
      </c>
      <c r="N44">
        <v>25</v>
      </c>
      <c r="O44">
        <v>1224</v>
      </c>
      <c r="P44">
        <v>1.1299999999999999</v>
      </c>
      <c r="Q44">
        <v>2.15</v>
      </c>
      <c r="R44">
        <v>63</v>
      </c>
      <c r="S44" s="62">
        <v>1.0289999999999999</v>
      </c>
      <c r="T44" t="s">
        <v>150</v>
      </c>
    </row>
    <row r="45" spans="1:20" x14ac:dyDescent="0.2">
      <c r="A45" t="s">
        <v>253</v>
      </c>
      <c r="B45" s="62">
        <v>2.0979999999999999</v>
      </c>
      <c r="C45" t="s">
        <v>146</v>
      </c>
      <c r="D45" t="s">
        <v>171</v>
      </c>
      <c r="E45" t="s">
        <v>191</v>
      </c>
      <c r="G45" s="60">
        <v>90878817</v>
      </c>
      <c r="H45" t="s">
        <v>186</v>
      </c>
      <c r="I45">
        <v>100000114</v>
      </c>
      <c r="J45" t="s">
        <v>174</v>
      </c>
      <c r="K45">
        <v>1100</v>
      </c>
      <c r="L45">
        <v>550</v>
      </c>
      <c r="M45">
        <v>100</v>
      </c>
      <c r="N45">
        <v>25</v>
      </c>
      <c r="O45">
        <v>2496</v>
      </c>
      <c r="P45">
        <v>1.1299999999999999</v>
      </c>
      <c r="Q45">
        <v>2.15</v>
      </c>
      <c r="R45">
        <v>63</v>
      </c>
      <c r="S45" s="62">
        <v>2.0979999999999999</v>
      </c>
      <c r="T45" t="s">
        <v>150</v>
      </c>
    </row>
    <row r="46" spans="1:20" x14ac:dyDescent="0.2">
      <c r="A46" t="s">
        <v>253</v>
      </c>
      <c r="B46" s="62">
        <v>1.335</v>
      </c>
      <c r="C46" t="s">
        <v>146</v>
      </c>
      <c r="D46" t="s">
        <v>171</v>
      </c>
      <c r="E46" t="s">
        <v>191</v>
      </c>
      <c r="G46" s="60">
        <v>90878818</v>
      </c>
      <c r="H46" t="s">
        <v>182</v>
      </c>
      <c r="I46">
        <v>100000114</v>
      </c>
      <c r="J46" t="s">
        <v>174</v>
      </c>
      <c r="K46">
        <v>700</v>
      </c>
      <c r="L46">
        <v>550</v>
      </c>
      <c r="M46">
        <v>100</v>
      </c>
      <c r="N46">
        <v>25</v>
      </c>
      <c r="O46">
        <v>1588</v>
      </c>
      <c r="P46">
        <v>1.1299999999999999</v>
      </c>
      <c r="Q46">
        <v>2.15</v>
      </c>
      <c r="R46">
        <v>63</v>
      </c>
      <c r="S46" s="62">
        <v>1.335</v>
      </c>
      <c r="T46" t="s">
        <v>150</v>
      </c>
    </row>
    <row r="47" spans="1:20" x14ac:dyDescent="0.2">
      <c r="A47" t="s">
        <v>23</v>
      </c>
      <c r="B47" s="62">
        <v>1.1439999999999999</v>
      </c>
      <c r="C47" t="s">
        <v>146</v>
      </c>
      <c r="D47" t="s">
        <v>171</v>
      </c>
      <c r="E47" t="s">
        <v>192</v>
      </c>
      <c r="G47" s="60">
        <v>90878820</v>
      </c>
      <c r="H47" t="s">
        <v>185</v>
      </c>
      <c r="I47">
        <v>100000114</v>
      </c>
      <c r="J47" t="s">
        <v>174</v>
      </c>
      <c r="K47">
        <v>600</v>
      </c>
      <c r="L47">
        <v>550</v>
      </c>
      <c r="M47">
        <v>100</v>
      </c>
      <c r="N47">
        <v>25</v>
      </c>
      <c r="O47">
        <v>1361</v>
      </c>
      <c r="P47">
        <v>1.1299999999999999</v>
      </c>
      <c r="Q47">
        <v>2.15</v>
      </c>
      <c r="R47">
        <v>63</v>
      </c>
      <c r="S47" s="62">
        <v>1.1439999999999999</v>
      </c>
      <c r="T47" t="s">
        <v>150</v>
      </c>
    </row>
    <row r="48" spans="1:20" x14ac:dyDescent="0.2">
      <c r="A48" t="s">
        <v>23</v>
      </c>
      <c r="B48" s="62">
        <v>0.95399999999999996</v>
      </c>
      <c r="C48" t="s">
        <v>146</v>
      </c>
      <c r="D48" t="s">
        <v>171</v>
      </c>
      <c r="E48" t="s">
        <v>192</v>
      </c>
      <c r="G48" s="60">
        <v>90878821</v>
      </c>
      <c r="H48" t="s">
        <v>175</v>
      </c>
      <c r="I48">
        <v>100000114</v>
      </c>
      <c r="J48" t="s">
        <v>174</v>
      </c>
      <c r="K48">
        <v>500</v>
      </c>
      <c r="L48">
        <v>550</v>
      </c>
      <c r="M48">
        <v>100</v>
      </c>
      <c r="N48">
        <v>25</v>
      </c>
      <c r="O48">
        <v>1135</v>
      </c>
      <c r="P48">
        <v>1.1299999999999999</v>
      </c>
      <c r="Q48">
        <v>2.15</v>
      </c>
      <c r="R48">
        <v>63</v>
      </c>
      <c r="S48" s="62">
        <v>0.95399999999999996</v>
      </c>
      <c r="T48" t="s">
        <v>150</v>
      </c>
    </row>
    <row r="49" spans="1:20" x14ac:dyDescent="0.2">
      <c r="A49" t="s">
        <v>23</v>
      </c>
      <c r="B49" s="62">
        <v>1.0289999999999999</v>
      </c>
      <c r="C49" t="s">
        <v>146</v>
      </c>
      <c r="D49" t="s">
        <v>171</v>
      </c>
      <c r="E49" t="s">
        <v>192</v>
      </c>
      <c r="G49" s="60">
        <v>90878822</v>
      </c>
      <c r="H49" t="s">
        <v>180</v>
      </c>
      <c r="I49">
        <v>100000114</v>
      </c>
      <c r="J49" t="s">
        <v>176</v>
      </c>
      <c r="K49">
        <v>700</v>
      </c>
      <c r="L49">
        <v>550</v>
      </c>
      <c r="M49">
        <v>70</v>
      </c>
      <c r="N49">
        <v>25</v>
      </c>
      <c r="O49">
        <v>1224</v>
      </c>
      <c r="P49">
        <v>1.1299999999999999</v>
      </c>
      <c r="Q49">
        <v>2.15</v>
      </c>
      <c r="R49">
        <v>63</v>
      </c>
      <c r="S49" s="62">
        <v>1.0289999999999999</v>
      </c>
      <c r="T49" t="s">
        <v>150</v>
      </c>
    </row>
    <row r="50" spans="1:20" x14ac:dyDescent="0.2">
      <c r="A50" t="s">
        <v>23</v>
      </c>
      <c r="B50" s="62">
        <v>1.335</v>
      </c>
      <c r="C50" t="s">
        <v>146</v>
      </c>
      <c r="D50" t="s">
        <v>171</v>
      </c>
      <c r="E50" t="s">
        <v>192</v>
      </c>
      <c r="G50" s="60">
        <v>90878823</v>
      </c>
      <c r="H50" t="s">
        <v>181</v>
      </c>
      <c r="I50">
        <v>100000114</v>
      </c>
      <c r="J50" t="s">
        <v>174</v>
      </c>
      <c r="K50">
        <v>700</v>
      </c>
      <c r="L50">
        <v>550</v>
      </c>
      <c r="M50">
        <v>100</v>
      </c>
      <c r="N50">
        <v>25</v>
      </c>
      <c r="O50">
        <v>1588</v>
      </c>
      <c r="P50">
        <v>1.1299999999999999</v>
      </c>
      <c r="Q50">
        <v>2.15</v>
      </c>
      <c r="R50">
        <v>63</v>
      </c>
      <c r="S50" s="62">
        <v>1.335</v>
      </c>
      <c r="T50" t="s">
        <v>150</v>
      </c>
    </row>
    <row r="51" spans="1:20" x14ac:dyDescent="0.2">
      <c r="A51" t="s">
        <v>23</v>
      </c>
      <c r="B51" s="62">
        <v>1.335</v>
      </c>
      <c r="C51" t="s">
        <v>146</v>
      </c>
      <c r="D51" t="s">
        <v>171</v>
      </c>
      <c r="E51" t="s">
        <v>192</v>
      </c>
      <c r="G51" s="60">
        <v>90878824</v>
      </c>
      <c r="H51" t="s">
        <v>186</v>
      </c>
      <c r="I51">
        <v>100000114</v>
      </c>
      <c r="J51" t="s">
        <v>174</v>
      </c>
      <c r="K51">
        <v>700</v>
      </c>
      <c r="L51">
        <v>550</v>
      </c>
      <c r="M51">
        <v>100</v>
      </c>
      <c r="N51">
        <v>25</v>
      </c>
      <c r="O51">
        <v>1588</v>
      </c>
      <c r="P51">
        <v>1.1299999999999999</v>
      </c>
      <c r="Q51">
        <v>2.15</v>
      </c>
      <c r="R51">
        <v>63</v>
      </c>
      <c r="S51" s="62">
        <v>1.335</v>
      </c>
      <c r="T51" t="s">
        <v>150</v>
      </c>
    </row>
    <row r="52" spans="1:20" x14ac:dyDescent="0.2">
      <c r="A52" t="s">
        <v>23</v>
      </c>
      <c r="B52" s="62">
        <v>1.1439999999999999</v>
      </c>
      <c r="C52" t="s">
        <v>146</v>
      </c>
      <c r="D52" t="s">
        <v>171</v>
      </c>
      <c r="E52" t="s">
        <v>192</v>
      </c>
      <c r="G52" s="60">
        <v>90878825</v>
      </c>
      <c r="H52" t="s">
        <v>173</v>
      </c>
      <c r="I52">
        <v>100000114</v>
      </c>
      <c r="J52" t="s">
        <v>174</v>
      </c>
      <c r="K52">
        <v>600</v>
      </c>
      <c r="L52">
        <v>550</v>
      </c>
      <c r="M52">
        <v>100</v>
      </c>
      <c r="N52">
        <v>25</v>
      </c>
      <c r="O52">
        <v>1361</v>
      </c>
      <c r="P52">
        <v>1.1299999999999999</v>
      </c>
      <c r="Q52">
        <v>2.15</v>
      </c>
      <c r="R52">
        <v>63</v>
      </c>
      <c r="S52" s="62">
        <v>1.1439999999999999</v>
      </c>
      <c r="T52" t="s">
        <v>150</v>
      </c>
    </row>
    <row r="53" spans="1:20" x14ac:dyDescent="0.2">
      <c r="A53" t="s">
        <v>23</v>
      </c>
      <c r="B53" s="62">
        <v>0.81200000000000006</v>
      </c>
      <c r="C53" t="s">
        <v>146</v>
      </c>
      <c r="D53" t="s">
        <v>171</v>
      </c>
      <c r="E53" t="s">
        <v>192</v>
      </c>
      <c r="G53" s="60">
        <v>90878826</v>
      </c>
      <c r="H53" t="s">
        <v>173</v>
      </c>
      <c r="I53">
        <v>200001050</v>
      </c>
      <c r="J53" t="s">
        <v>173</v>
      </c>
      <c r="K53">
        <v>635</v>
      </c>
      <c r="L53">
        <v>1773</v>
      </c>
      <c r="M53">
        <v>70</v>
      </c>
      <c r="N53">
        <v>0</v>
      </c>
      <c r="O53">
        <v>1375</v>
      </c>
      <c r="P53">
        <v>1.28</v>
      </c>
      <c r="Q53">
        <v>2.27</v>
      </c>
      <c r="R53">
        <v>63</v>
      </c>
      <c r="S53" s="62">
        <v>0.81200000000000006</v>
      </c>
      <c r="T53" t="s">
        <v>150</v>
      </c>
    </row>
    <row r="54" spans="1:20" x14ac:dyDescent="0.2">
      <c r="A54" t="s">
        <v>23</v>
      </c>
      <c r="B54" s="62">
        <v>1.1439999999999999</v>
      </c>
      <c r="C54" t="s">
        <v>146</v>
      </c>
      <c r="D54" t="s">
        <v>171</v>
      </c>
      <c r="E54" t="s">
        <v>192</v>
      </c>
      <c r="G54" s="60">
        <v>90878827</v>
      </c>
      <c r="H54" t="s">
        <v>193</v>
      </c>
      <c r="I54">
        <v>100000114</v>
      </c>
      <c r="J54" t="s">
        <v>174</v>
      </c>
      <c r="K54">
        <v>600</v>
      </c>
      <c r="L54">
        <v>550</v>
      </c>
      <c r="M54">
        <v>100</v>
      </c>
      <c r="N54">
        <v>25</v>
      </c>
      <c r="O54">
        <v>1361</v>
      </c>
      <c r="P54">
        <v>1.1299999999999999</v>
      </c>
      <c r="Q54">
        <v>2.15</v>
      </c>
      <c r="R54">
        <v>63</v>
      </c>
      <c r="S54" s="62">
        <v>1.1439999999999999</v>
      </c>
      <c r="T54" t="s">
        <v>150</v>
      </c>
    </row>
    <row r="55" spans="1:20" x14ac:dyDescent="0.2">
      <c r="A55" t="s">
        <v>23</v>
      </c>
      <c r="B55" s="62">
        <v>1.1439999999999999</v>
      </c>
      <c r="C55" t="s">
        <v>146</v>
      </c>
      <c r="D55" t="s">
        <v>171</v>
      </c>
      <c r="E55" t="s">
        <v>192</v>
      </c>
      <c r="G55" s="60">
        <v>90878828</v>
      </c>
      <c r="H55" t="s">
        <v>185</v>
      </c>
      <c r="I55">
        <v>100000114</v>
      </c>
      <c r="J55" t="s">
        <v>174</v>
      </c>
      <c r="K55">
        <v>600</v>
      </c>
      <c r="L55">
        <v>550</v>
      </c>
      <c r="M55">
        <v>100</v>
      </c>
      <c r="N55">
        <v>25</v>
      </c>
      <c r="O55">
        <v>1361</v>
      </c>
      <c r="P55">
        <v>1.1299999999999999</v>
      </c>
      <c r="Q55">
        <v>2.15</v>
      </c>
      <c r="R55">
        <v>63</v>
      </c>
      <c r="S55" s="62">
        <v>1.1439999999999999</v>
      </c>
      <c r="T55" t="s">
        <v>150</v>
      </c>
    </row>
    <row r="56" spans="1:20" x14ac:dyDescent="0.2">
      <c r="A56" t="s">
        <v>23</v>
      </c>
      <c r="B56" s="62">
        <v>1.3440000000000001</v>
      </c>
      <c r="C56" t="s">
        <v>146</v>
      </c>
      <c r="D56" t="s">
        <v>171</v>
      </c>
      <c r="E56" t="s">
        <v>192</v>
      </c>
      <c r="G56" s="60">
        <v>90878829</v>
      </c>
      <c r="H56" t="s">
        <v>194</v>
      </c>
      <c r="I56">
        <v>100000119</v>
      </c>
      <c r="J56" t="s">
        <v>183</v>
      </c>
      <c r="K56">
        <v>800</v>
      </c>
      <c r="L56">
        <v>330</v>
      </c>
      <c r="M56">
        <v>140</v>
      </c>
      <c r="N56">
        <v>25</v>
      </c>
      <c r="O56">
        <v>2422</v>
      </c>
      <c r="P56">
        <v>1.1299999999999999</v>
      </c>
      <c r="Q56">
        <v>2.15</v>
      </c>
      <c r="R56">
        <v>63</v>
      </c>
      <c r="S56" s="62">
        <v>1.3440000000000001</v>
      </c>
      <c r="T56" t="s">
        <v>150</v>
      </c>
    </row>
    <row r="57" spans="1:20" x14ac:dyDescent="0.2">
      <c r="A57" t="s">
        <v>23</v>
      </c>
      <c r="B57" s="62">
        <v>1.3440000000000001</v>
      </c>
      <c r="C57" t="s">
        <v>146</v>
      </c>
      <c r="D57" t="s">
        <v>171</v>
      </c>
      <c r="E57" t="s">
        <v>192</v>
      </c>
      <c r="G57" s="60">
        <v>90878830</v>
      </c>
      <c r="H57" t="s">
        <v>195</v>
      </c>
      <c r="I57">
        <v>100000119</v>
      </c>
      <c r="J57" t="s">
        <v>183</v>
      </c>
      <c r="K57">
        <v>800</v>
      </c>
      <c r="L57">
        <v>330</v>
      </c>
      <c r="M57">
        <v>140</v>
      </c>
      <c r="N57">
        <v>25</v>
      </c>
      <c r="O57">
        <v>2422</v>
      </c>
      <c r="P57">
        <v>1.1299999999999999</v>
      </c>
      <c r="Q57">
        <v>2.15</v>
      </c>
      <c r="R57">
        <v>63</v>
      </c>
      <c r="S57" s="62">
        <v>1.3440000000000001</v>
      </c>
      <c r="T57" t="s">
        <v>150</v>
      </c>
    </row>
    <row r="58" spans="1:20" x14ac:dyDescent="0.2">
      <c r="A58" t="s">
        <v>23</v>
      </c>
      <c r="B58" s="62">
        <v>1.1439999999999999</v>
      </c>
      <c r="C58" t="s">
        <v>146</v>
      </c>
      <c r="D58" t="s">
        <v>171</v>
      </c>
      <c r="E58" t="s">
        <v>192</v>
      </c>
      <c r="G58" s="60">
        <v>90878831</v>
      </c>
      <c r="H58" t="s">
        <v>173</v>
      </c>
      <c r="I58">
        <v>100000114</v>
      </c>
      <c r="J58" t="s">
        <v>174</v>
      </c>
      <c r="K58">
        <v>600</v>
      </c>
      <c r="L58">
        <v>550</v>
      </c>
      <c r="M58">
        <v>100</v>
      </c>
      <c r="N58">
        <v>25</v>
      </c>
      <c r="O58">
        <v>1361</v>
      </c>
      <c r="P58">
        <v>1.1299999999999999</v>
      </c>
      <c r="Q58">
        <v>2.15</v>
      </c>
      <c r="R58">
        <v>63</v>
      </c>
      <c r="S58" s="62">
        <v>1.1439999999999999</v>
      </c>
      <c r="T58" t="s">
        <v>150</v>
      </c>
    </row>
  </sheetData>
  <phoneticPr fontId="3" type="noConversion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61"/>
  <sheetViews>
    <sheetView tabSelected="1" showRuler="0" zoomScale="94" workbookViewId="0">
      <selection activeCell="C30" sqref="C30"/>
    </sheetView>
  </sheetViews>
  <sheetFormatPr baseColWidth="10" defaultColWidth="11" defaultRowHeight="16" x14ac:dyDescent="0.2"/>
  <cols>
    <col min="1" max="1" width="24.1640625" style="23" customWidth="1"/>
    <col min="6" max="6" width="18.1640625" customWidth="1"/>
  </cols>
  <sheetData>
    <row r="1" spans="1:11" ht="21" x14ac:dyDescent="0.25">
      <c r="A1" s="161" t="s">
        <v>318</v>
      </c>
      <c r="B1" s="161"/>
      <c r="C1" s="161"/>
      <c r="D1" s="161"/>
      <c r="E1" s="161"/>
      <c r="F1" s="161"/>
    </row>
    <row r="3" spans="1:11" x14ac:dyDescent="0.2">
      <c r="A3" s="24" t="s">
        <v>105</v>
      </c>
    </row>
    <row r="5" spans="1:11" x14ac:dyDescent="0.2">
      <c r="A5" s="24" t="s">
        <v>106</v>
      </c>
      <c r="B5" s="21" t="s">
        <v>137</v>
      </c>
      <c r="C5" s="21" t="s">
        <v>10</v>
      </c>
      <c r="D5" s="21" t="s">
        <v>0</v>
      </c>
      <c r="F5" s="131">
        <v>45658</v>
      </c>
      <c r="G5" t="s">
        <v>310</v>
      </c>
    </row>
    <row r="6" spans="1:11" x14ac:dyDescent="0.2">
      <c r="F6" s="2"/>
    </row>
    <row r="7" spans="1:11" x14ac:dyDescent="0.2">
      <c r="A7" s="23" t="s">
        <v>107</v>
      </c>
      <c r="B7" s="115">
        <v>39833</v>
      </c>
      <c r="C7" t="s">
        <v>319</v>
      </c>
      <c r="D7" s="5">
        <v>46022</v>
      </c>
      <c r="F7" s="2">
        <v>3874.89</v>
      </c>
    </row>
    <row r="8" spans="1:11" x14ac:dyDescent="0.2">
      <c r="C8" s="1"/>
      <c r="E8" s="44" t="s">
        <v>35</v>
      </c>
      <c r="F8" s="26">
        <f>SUM(F7)</f>
        <v>3874.89</v>
      </c>
    </row>
    <row r="9" spans="1:11" x14ac:dyDescent="0.2">
      <c r="A9" s="23" t="s">
        <v>134</v>
      </c>
      <c r="B9" s="59">
        <f>SUM(F8/B7)</f>
        <v>9.7278387266839045E-2</v>
      </c>
      <c r="C9" s="1" t="s">
        <v>123</v>
      </c>
      <c r="F9" s="2"/>
    </row>
    <row r="10" spans="1:11" x14ac:dyDescent="0.2">
      <c r="A10" s="23" t="s">
        <v>135</v>
      </c>
      <c r="B10">
        <f>SUM(B7-B11)</f>
        <v>32507.200000000001</v>
      </c>
      <c r="C10" s="1" t="s">
        <v>108</v>
      </c>
      <c r="F10" s="2"/>
    </row>
    <row r="11" spans="1:11" x14ac:dyDescent="0.2">
      <c r="A11" s="23" t="s">
        <v>136</v>
      </c>
      <c r="B11">
        <v>7325.8</v>
      </c>
      <c r="C11" t="s">
        <v>108</v>
      </c>
      <c r="D11" s="5">
        <v>46022</v>
      </c>
      <c r="F11" s="2"/>
    </row>
    <row r="12" spans="1:11" x14ac:dyDescent="0.2">
      <c r="F12" s="2"/>
    </row>
    <row r="13" spans="1:11" x14ac:dyDescent="0.2">
      <c r="A13" s="23" t="s">
        <v>101</v>
      </c>
      <c r="B13" s="2">
        <f>SUM(F17+F18)</f>
        <v>1817.65</v>
      </c>
      <c r="C13" t="s">
        <v>104</v>
      </c>
      <c r="F13" s="2"/>
    </row>
    <row r="14" spans="1:11" x14ac:dyDescent="0.2">
      <c r="A14" s="23" t="s">
        <v>102</v>
      </c>
      <c r="B14" s="41">
        <f>VALUE(Becker!H31+Drost!H30+Bernsee!H32+Ballestriero!H32+Weber!H31+Gneiting!H37)</f>
        <v>75.512</v>
      </c>
      <c r="C14" t="s">
        <v>68</v>
      </c>
      <c r="F14" s="2"/>
    </row>
    <row r="15" spans="1:11" x14ac:dyDescent="0.2">
      <c r="A15" s="23" t="s">
        <v>121</v>
      </c>
      <c r="B15" s="41">
        <f>VALUE(Becker!H36+Drost!H35+Bernsee!H37+Ballestriero!H37+Weber!H36+Gneiting!H43)</f>
        <v>193.77500000000003</v>
      </c>
      <c r="C15" t="s">
        <v>68</v>
      </c>
      <c r="F15" s="2"/>
    </row>
    <row r="16" spans="1:11" x14ac:dyDescent="0.2">
      <c r="A16" s="23" t="s">
        <v>103</v>
      </c>
      <c r="B16" s="41">
        <f>SUM(B14+B15)</f>
        <v>269.28700000000003</v>
      </c>
      <c r="C16" t="s">
        <v>68</v>
      </c>
      <c r="F16" s="2"/>
      <c r="K16" s="26"/>
    </row>
    <row r="17" spans="1:11" x14ac:dyDescent="0.2">
      <c r="A17" s="23" t="s">
        <v>4</v>
      </c>
      <c r="B17" s="3" t="s">
        <v>104</v>
      </c>
      <c r="F17" s="26">
        <f>895.79+826.48</f>
        <v>1722.27</v>
      </c>
    </row>
    <row r="18" spans="1:11" x14ac:dyDescent="0.2">
      <c r="A18" s="23" t="s">
        <v>100</v>
      </c>
      <c r="B18" s="3" t="s">
        <v>104</v>
      </c>
      <c r="F18" s="26">
        <v>95.38</v>
      </c>
      <c r="K18" s="26"/>
    </row>
    <row r="19" spans="1:11" x14ac:dyDescent="0.2">
      <c r="A19" s="23" t="s">
        <v>2</v>
      </c>
      <c r="F19" s="2"/>
    </row>
    <row r="20" spans="1:11" x14ac:dyDescent="0.2">
      <c r="A20" s="23" t="s">
        <v>3</v>
      </c>
      <c r="C20" s="17">
        <v>45659</v>
      </c>
      <c r="F20" s="26">
        <f>SUM(F8+F17+F18)</f>
        <v>5692.54</v>
      </c>
    </row>
    <row r="21" spans="1:11" x14ac:dyDescent="0.2">
      <c r="F21" s="26"/>
    </row>
    <row r="22" spans="1:11" x14ac:dyDescent="0.2">
      <c r="A22" s="27" t="s">
        <v>111</v>
      </c>
      <c r="F22" s="2"/>
    </row>
    <row r="23" spans="1:11" x14ac:dyDescent="0.2">
      <c r="A23" s="24" t="s">
        <v>5</v>
      </c>
      <c r="B23" s="21" t="s">
        <v>6</v>
      </c>
      <c r="C23" s="21" t="s">
        <v>110</v>
      </c>
      <c r="F23" s="48" t="s">
        <v>7</v>
      </c>
    </row>
    <row r="24" spans="1:11" x14ac:dyDescent="0.2">
      <c r="F24" s="2"/>
    </row>
    <row r="25" spans="1:11" x14ac:dyDescent="0.2">
      <c r="A25" s="23" t="s">
        <v>109</v>
      </c>
      <c r="B25" s="59">
        <f>VALUE(B9)</f>
        <v>9.7278387266839045E-2</v>
      </c>
      <c r="C25" s="36">
        <f>VALUE(B10)</f>
        <v>32507.200000000001</v>
      </c>
      <c r="D25" t="s">
        <v>108</v>
      </c>
      <c r="F25" s="2">
        <f>SUM(B25*C25)</f>
        <v>3162.2479905605901</v>
      </c>
    </row>
    <row r="26" spans="1:11" x14ac:dyDescent="0.2">
      <c r="A26" s="23" t="s">
        <v>2</v>
      </c>
      <c r="B26" s="2"/>
      <c r="C26" s="1"/>
      <c r="F26" s="2"/>
    </row>
    <row r="27" spans="1:11" x14ac:dyDescent="0.2">
      <c r="A27" s="24" t="s">
        <v>7</v>
      </c>
      <c r="B27" s="2"/>
      <c r="C27" s="1"/>
      <c r="F27" s="26">
        <f>SUM(F25)</f>
        <v>3162.2479905605901</v>
      </c>
      <c r="H27" s="2"/>
    </row>
    <row r="28" spans="1:11" x14ac:dyDescent="0.2">
      <c r="A28" s="24"/>
      <c r="B28" s="2"/>
      <c r="C28" s="1"/>
      <c r="F28" s="26"/>
    </row>
    <row r="29" spans="1:11" x14ac:dyDescent="0.2">
      <c r="A29" s="24" t="s">
        <v>1</v>
      </c>
      <c r="B29" s="26" t="s">
        <v>6</v>
      </c>
      <c r="C29" s="49" t="s">
        <v>110</v>
      </c>
      <c r="F29" s="2"/>
      <c r="H29" s="36"/>
    </row>
    <row r="30" spans="1:11" x14ac:dyDescent="0.2">
      <c r="A30" s="23" t="s">
        <v>109</v>
      </c>
      <c r="B30" s="59">
        <f>VALUE(B9)</f>
        <v>9.7278387266839045E-2</v>
      </c>
      <c r="C30" s="36">
        <f>VALUE(B11)</f>
        <v>7325.8</v>
      </c>
      <c r="D30" t="s">
        <v>108</v>
      </c>
      <c r="F30" s="2">
        <f>SUM(B30*C30)</f>
        <v>712.64200943940955</v>
      </c>
    </row>
    <row r="31" spans="1:11" x14ac:dyDescent="0.2">
      <c r="A31" s="23" t="s">
        <v>120</v>
      </c>
      <c r="B31" s="2">
        <f>SUM(B13/B16*B14)</f>
        <v>509.69555455703392</v>
      </c>
      <c r="C31" s="22">
        <v>1</v>
      </c>
      <c r="F31" s="2">
        <f>SUM(B31*C31)</f>
        <v>509.69555455703392</v>
      </c>
    </row>
    <row r="32" spans="1:11" x14ac:dyDescent="0.2">
      <c r="A32" s="23" t="s">
        <v>2</v>
      </c>
      <c r="B32" s="2"/>
      <c r="F32" s="2"/>
    </row>
    <row r="33" spans="1:10" x14ac:dyDescent="0.2">
      <c r="A33" s="24" t="s">
        <v>7</v>
      </c>
      <c r="F33" s="26">
        <f>SUM(F30+F31)</f>
        <v>1222.3375639964434</v>
      </c>
    </row>
    <row r="34" spans="1:10" x14ac:dyDescent="0.2">
      <c r="A34" s="24" t="s">
        <v>112</v>
      </c>
      <c r="F34" s="26">
        <f>SUM(F27+F33)</f>
        <v>4384.5855545570339</v>
      </c>
    </row>
    <row r="35" spans="1:10" x14ac:dyDescent="0.2">
      <c r="A35" s="24"/>
      <c r="F35" s="26"/>
    </row>
    <row r="36" spans="1:10" x14ac:dyDescent="0.2">
      <c r="A36" s="24" t="s">
        <v>4</v>
      </c>
      <c r="B36" s="21" t="s">
        <v>6</v>
      </c>
      <c r="C36" s="21" t="s">
        <v>141</v>
      </c>
      <c r="F36" s="26"/>
    </row>
    <row r="37" spans="1:10" x14ac:dyDescent="0.2">
      <c r="A37" s="23" t="s">
        <v>113</v>
      </c>
      <c r="B37" s="2">
        <f>VALUE(F17)</f>
        <v>1722.27</v>
      </c>
      <c r="C37" s="2">
        <f>VALUE(B31)</f>
        <v>509.69555455703392</v>
      </c>
      <c r="F37" s="26">
        <f>SUM(B37-C37)</f>
        <v>1212.574445442966</v>
      </c>
    </row>
    <row r="38" spans="1:10" x14ac:dyDescent="0.2">
      <c r="A38" s="23" t="s">
        <v>100</v>
      </c>
      <c r="B38" s="2">
        <f>VALUE(F18)</f>
        <v>95.38</v>
      </c>
      <c r="F38" s="26">
        <f>VALUE(F18)</f>
        <v>95.38</v>
      </c>
    </row>
    <row r="39" spans="1:10" x14ac:dyDescent="0.2">
      <c r="A39" s="24"/>
      <c r="F39" s="26"/>
    </row>
    <row r="40" spans="1:10" x14ac:dyDescent="0.2">
      <c r="A40" s="23" t="s">
        <v>2</v>
      </c>
      <c r="F40" s="2"/>
    </row>
    <row r="41" spans="1:10" x14ac:dyDescent="0.2">
      <c r="A41" s="24" t="s">
        <v>3</v>
      </c>
      <c r="F41" s="7">
        <f>SUM(F34+F37+F38)</f>
        <v>5692.54</v>
      </c>
    </row>
    <row r="42" spans="1:10" x14ac:dyDescent="0.2">
      <c r="A42" s="23" t="s">
        <v>2</v>
      </c>
      <c r="F42" s="2"/>
    </row>
    <row r="43" spans="1:10" x14ac:dyDescent="0.2">
      <c r="F43" s="2"/>
    </row>
    <row r="44" spans="1:10" x14ac:dyDescent="0.2">
      <c r="A44" s="24" t="s">
        <v>8</v>
      </c>
      <c r="C44" s="21" t="s">
        <v>123</v>
      </c>
      <c r="D44" s="21" t="s">
        <v>124</v>
      </c>
      <c r="F44" s="2"/>
    </row>
    <row r="45" spans="1:10" x14ac:dyDescent="0.2">
      <c r="F45" s="2"/>
    </row>
    <row r="46" spans="1:10" x14ac:dyDescent="0.2">
      <c r="A46" s="24" t="s">
        <v>5</v>
      </c>
      <c r="C46" s="26">
        <f>SUM(F27)</f>
        <v>3162.2479905605901</v>
      </c>
      <c r="F46" s="26" t="s">
        <v>11</v>
      </c>
      <c r="I46" t="s">
        <v>10</v>
      </c>
      <c r="J46" t="s">
        <v>53</v>
      </c>
    </row>
    <row r="47" spans="1:10" x14ac:dyDescent="0.2">
      <c r="A47" s="23" t="s">
        <v>9</v>
      </c>
      <c r="C47" s="2">
        <f>SUM(C46*30%)</f>
        <v>948.67439716817694</v>
      </c>
      <c r="D47" s="15">
        <v>414.52</v>
      </c>
      <c r="E47" s="3" t="s">
        <v>15</v>
      </c>
      <c r="F47" s="2">
        <f>SUM(C47/D47)</f>
        <v>2.2886094691888861</v>
      </c>
      <c r="H47" t="s">
        <v>52</v>
      </c>
      <c r="I47" s="15">
        <f>SUM(Becker!F4+Drost!F4+Bernsee!F4+Ballestriero!F4+Weber!F4+Gneiting!F4)</f>
        <v>414.52</v>
      </c>
      <c r="J47" s="15">
        <f>SUM(Becker!H4+Drost!H4+Bernsee!H4+Ballestriero!H4+Weber!H4+Gneiting!H4)</f>
        <v>948.67439716817717</v>
      </c>
    </row>
    <row r="48" spans="1:10" x14ac:dyDescent="0.2">
      <c r="A48" s="23" t="s">
        <v>12</v>
      </c>
      <c r="C48" s="2">
        <f>SUM(C46*70%)</f>
        <v>2213.5735933924129</v>
      </c>
      <c r="D48" s="36">
        <f>VALUE(Becker!H27+Drost!H26+Bernsee!H28+Ballestriero!H28+Weber!H27+Gneiting!H32)</f>
        <v>17664.22</v>
      </c>
      <c r="E48" s="36" t="s">
        <v>67</v>
      </c>
      <c r="F48" s="2">
        <f>SUM(C48/D48)</f>
        <v>0.1253139732970045</v>
      </c>
      <c r="H48" t="s">
        <v>52</v>
      </c>
      <c r="I48" s="36">
        <f>VALUE(Becker!H27+Drost!H26+Bernsee!H28+Ballestriero!H28+Weber!H27+Gneiting!H32)</f>
        <v>17664.22</v>
      </c>
      <c r="J48" s="15">
        <f>SUM(Becker!H5+Drost!H5+Bernsee!H5+Ballestriero!H5+Weber!H5+Gneiting!H5)</f>
        <v>2213.5735933924129</v>
      </c>
    </row>
    <row r="49" spans="1:10" x14ac:dyDescent="0.2">
      <c r="C49" s="2"/>
      <c r="D49" s="36"/>
      <c r="E49" s="3"/>
      <c r="F49" s="2"/>
    </row>
    <row r="50" spans="1:10" x14ac:dyDescent="0.2">
      <c r="A50" s="24" t="s">
        <v>1</v>
      </c>
      <c r="C50" s="26">
        <f>SUM(F33)</f>
        <v>1222.3375639964434</v>
      </c>
      <c r="D50" s="36"/>
      <c r="E50" s="3"/>
      <c r="F50" s="2"/>
    </row>
    <row r="51" spans="1:10" x14ac:dyDescent="0.2">
      <c r="A51" s="23" t="s">
        <v>9</v>
      </c>
      <c r="C51" s="2">
        <f>SUM(C50*30%)</f>
        <v>366.70126919893301</v>
      </c>
      <c r="D51" s="15">
        <v>414.52</v>
      </c>
      <c r="E51" s="3" t="s">
        <v>15</v>
      </c>
      <c r="F51" s="2">
        <f>SUM(C51/D51)</f>
        <v>0.88464071504133224</v>
      </c>
      <c r="H51" t="s">
        <v>52</v>
      </c>
      <c r="I51" s="15">
        <f>SUM(Becker!F8+Drost!F8+Bernsee!F8+Ballestriero!F8+Weber!F8+Gneiting!F8)</f>
        <v>414.52</v>
      </c>
      <c r="J51" s="15">
        <f>SUM(Becker!H8+Drost!H8+Bernsee!H8+Ballestriero!H8+Weber!H8+Gneiting!H8)</f>
        <v>366.70126919893301</v>
      </c>
    </row>
    <row r="52" spans="1:10" x14ac:dyDescent="0.2">
      <c r="A52" s="23" t="s">
        <v>12</v>
      </c>
      <c r="C52" s="2">
        <f>SUM(C50*70%)</f>
        <v>855.63629479751035</v>
      </c>
      <c r="D52" s="41">
        <f>VALUE(B14)</f>
        <v>75.512</v>
      </c>
      <c r="E52" s="3" t="s">
        <v>68</v>
      </c>
      <c r="F52" s="2">
        <f>SUM(C52/D52)</f>
        <v>11.331130082602902</v>
      </c>
      <c r="H52" t="s">
        <v>52</v>
      </c>
      <c r="I52" s="41">
        <f>SUM(Becker!H31+Drost!H30+Bernsee!H32+Ballestriero!H32+Weber!H31+Gneiting!H37)</f>
        <v>75.512</v>
      </c>
      <c r="J52" s="15">
        <f>SUM(Becker!H9+Drost!H9+Bernsee!H9+Ballestriero!H9+Weber!H9+Gneiting!H9)</f>
        <v>855.63629479751023</v>
      </c>
    </row>
    <row r="53" spans="1:10" x14ac:dyDescent="0.2">
      <c r="C53" s="2"/>
      <c r="D53" s="36"/>
      <c r="E53" s="3"/>
      <c r="F53" s="2"/>
      <c r="J53" s="15"/>
    </row>
    <row r="54" spans="1:10" x14ac:dyDescent="0.2">
      <c r="A54" s="24" t="s">
        <v>4</v>
      </c>
      <c r="C54" s="26">
        <f>VALUE(F37+F38)</f>
        <v>1307.9544454429661</v>
      </c>
      <c r="D54" s="135">
        <f>VALUE(B15)</f>
        <v>193.77500000000003</v>
      </c>
      <c r="E54" s="3" t="s">
        <v>68</v>
      </c>
      <c r="F54" s="2">
        <f>SUM(C54/D54)</f>
        <v>6.7498616717479853</v>
      </c>
      <c r="H54" t="s">
        <v>52</v>
      </c>
      <c r="I54" s="41">
        <f>SUM(Becker!H36+Drost!H35+Bernsee!H37+Ballestriero!H37+Weber!H36+Gneiting!H43)</f>
        <v>193.77500000000003</v>
      </c>
      <c r="J54" s="15">
        <f>SUM(Becker!H11+Drost!H11+Bernsee!H11+Ballestriero!H11+Weber!H11+Gneiting!H11)</f>
        <v>1307.9544454429663</v>
      </c>
    </row>
    <row r="55" spans="1:10" x14ac:dyDescent="0.2">
      <c r="C55" s="2"/>
      <c r="D55" s="3"/>
      <c r="E55" s="3"/>
      <c r="F55" s="2"/>
    </row>
    <row r="56" spans="1:10" x14ac:dyDescent="0.2">
      <c r="C56" s="2"/>
      <c r="D56" s="3"/>
      <c r="E56" s="3"/>
      <c r="F56" s="2"/>
    </row>
    <row r="57" spans="1:10" x14ac:dyDescent="0.2">
      <c r="A57" s="25" t="s">
        <v>286</v>
      </c>
      <c r="B57" s="6"/>
      <c r="C57" s="7">
        <f>SUM(C46+C50+C54)</f>
        <v>5692.54</v>
      </c>
      <c r="D57" s="137">
        <f>SUM(D52+D54)</f>
        <v>269.28700000000003</v>
      </c>
      <c r="E57" s="6" t="s">
        <v>68</v>
      </c>
      <c r="F57" s="7">
        <f>SUM(Becker!H13+Drost!H13+Bernsee!H13+Ballestriero!H13+Weber!H13+Gneiting!H13)</f>
        <v>5692.54</v>
      </c>
    </row>
    <row r="58" spans="1:10" x14ac:dyDescent="0.2">
      <c r="C58" s="2"/>
      <c r="F58" s="2"/>
    </row>
    <row r="59" spans="1:10" x14ac:dyDescent="0.2">
      <c r="C59" s="2"/>
      <c r="F59" s="2"/>
    </row>
    <row r="60" spans="1:10" x14ac:dyDescent="0.2">
      <c r="C60" s="2"/>
      <c r="F60" s="2"/>
    </row>
    <row r="61" spans="1:10" x14ac:dyDescent="0.2">
      <c r="F61" s="2"/>
    </row>
  </sheetData>
  <mergeCells count="1">
    <mergeCell ref="A1:F1"/>
  </mergeCells>
  <phoneticPr fontId="3" type="noConversion"/>
  <conditionalFormatting sqref="I47">
    <cfRule type="cellIs" dxfId="17" priority="17" operator="equal">
      <formula>$D$47</formula>
    </cfRule>
  </conditionalFormatting>
  <conditionalFormatting sqref="I48">
    <cfRule type="cellIs" dxfId="16" priority="2" operator="equal">
      <formula>$I$48</formula>
    </cfRule>
  </conditionalFormatting>
  <conditionalFormatting sqref="I51">
    <cfRule type="cellIs" dxfId="15" priority="12" operator="equal">
      <formula>$D$51</formula>
    </cfRule>
  </conditionalFormatting>
  <conditionalFormatting sqref="I52">
    <cfRule type="cellIs" dxfId="14" priority="9" operator="notEqual">
      <formula>$D$52</formula>
    </cfRule>
    <cfRule type="cellIs" dxfId="13" priority="10" operator="equal">
      <formula>$D$52</formula>
    </cfRule>
  </conditionalFormatting>
  <conditionalFormatting sqref="I54">
    <cfRule type="cellIs" dxfId="12" priority="5" operator="notEqual">
      <formula>$D$54</formula>
    </cfRule>
    <cfRule type="cellIs" dxfId="11" priority="6" operator="equal">
      <formula>$D$54</formula>
    </cfRule>
  </conditionalFormatting>
  <conditionalFormatting sqref="J47">
    <cfRule type="cellIs" dxfId="10" priority="15" stopIfTrue="1" operator="equal">
      <formula>$C$47</formula>
    </cfRule>
    <cfRule type="cellIs" dxfId="9" priority="16" stopIfTrue="1" operator="notEqual">
      <formula>$C$47</formula>
    </cfRule>
  </conditionalFormatting>
  <conditionalFormatting sqref="J48">
    <cfRule type="cellIs" dxfId="8" priority="13" operator="equal">
      <formula>$C$48</formula>
    </cfRule>
  </conditionalFormatting>
  <conditionalFormatting sqref="J51">
    <cfRule type="cellIs" dxfId="7" priority="11" operator="equal">
      <formula>$C$51</formula>
    </cfRule>
  </conditionalFormatting>
  <conditionalFormatting sqref="J52">
    <cfRule type="cellIs" dxfId="6" priority="7" operator="notEqual">
      <formula>$C$52</formula>
    </cfRule>
    <cfRule type="cellIs" dxfId="5" priority="8" operator="equal">
      <formula>$C$52</formula>
    </cfRule>
  </conditionalFormatting>
  <conditionalFormatting sqref="J54">
    <cfRule type="cellIs" dxfId="4" priority="3" operator="notEqual">
      <formula>$C$54</formula>
    </cfRule>
    <cfRule type="cellIs" dxfId="3" priority="4" operator="equal">
      <formula>$C$54</formula>
    </cfRule>
  </conditionalFormatting>
  <printOptions horizontalCentered="1" verticalCentered="1"/>
  <pageMargins left="0.7" right="0.7" top="0.75" bottom="0.75" header="0.3" footer="0.3"/>
  <pageSetup paperSize="9" scale="86" orientation="portrait" horizontalDpi="0" verticalDpi="0" copies="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55"/>
  <sheetViews>
    <sheetView showRuler="0" topLeftCell="A11" zoomScale="125" zoomScaleNormal="125" workbookViewId="0">
      <selection activeCell="G25" sqref="G25"/>
    </sheetView>
  </sheetViews>
  <sheetFormatPr baseColWidth="10" defaultRowHeight="13" x14ac:dyDescent="0.15"/>
  <cols>
    <col min="1" max="3" width="12.83203125" style="72" customWidth="1"/>
    <col min="4" max="4" width="14.5" style="104" customWidth="1"/>
    <col min="5" max="8" width="12.83203125" style="72" customWidth="1"/>
    <col min="9" max="10" width="12.83203125" style="104" customWidth="1"/>
    <col min="11" max="11" width="10" style="72" customWidth="1"/>
    <col min="12" max="12" width="15.33203125" style="72" customWidth="1"/>
    <col min="13" max="13" width="13.1640625" style="72" customWidth="1"/>
    <col min="14" max="14" width="6.83203125" style="72" bestFit="1" customWidth="1"/>
    <col min="15" max="15" width="9.1640625" style="72" bestFit="1" customWidth="1"/>
    <col min="16" max="16" width="6.83203125" style="72" bestFit="1" customWidth="1"/>
    <col min="17" max="17" width="15.83203125" style="72" customWidth="1"/>
    <col min="18" max="18" width="11.33203125" style="72" bestFit="1" customWidth="1"/>
    <col min="19" max="19" width="9.1640625" style="72" bestFit="1" customWidth="1"/>
    <col min="20" max="16384" width="10.83203125" style="72"/>
  </cols>
  <sheetData>
    <row r="1" spans="1:27" s="129" customFormat="1" ht="36" customHeight="1" x14ac:dyDescent="0.25">
      <c r="A1" s="159" t="s">
        <v>317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</row>
    <row r="2" spans="1:27" x14ac:dyDescent="0.15">
      <c r="B2" s="72" t="s">
        <v>17</v>
      </c>
      <c r="C2" s="72" t="s">
        <v>291</v>
      </c>
      <c r="D2" s="104" t="s">
        <v>63</v>
      </c>
      <c r="E2" s="72" t="s">
        <v>20</v>
      </c>
      <c r="F2" s="90" t="s">
        <v>274</v>
      </c>
      <c r="G2" s="72" t="s">
        <v>23</v>
      </c>
      <c r="H2" s="72" t="s">
        <v>3</v>
      </c>
      <c r="I2" s="104" t="s">
        <v>240</v>
      </c>
      <c r="J2" s="72" t="s">
        <v>241</v>
      </c>
    </row>
    <row r="3" spans="1:27" x14ac:dyDescent="0.15">
      <c r="A3" s="105">
        <v>45658</v>
      </c>
      <c r="B3" s="93">
        <v>290</v>
      </c>
      <c r="C3" s="93">
        <v>225</v>
      </c>
      <c r="D3" s="93">
        <v>250</v>
      </c>
      <c r="E3" s="93">
        <v>210</v>
      </c>
      <c r="F3" s="93">
        <v>210</v>
      </c>
      <c r="G3" s="93">
        <v>220</v>
      </c>
      <c r="H3" s="93">
        <f>SUM(B3+C3+D3+E3+F3+G3)</f>
        <v>1405</v>
      </c>
      <c r="I3" s="93">
        <v>200</v>
      </c>
      <c r="J3" s="93">
        <v>500</v>
      </c>
      <c r="W3" s="93"/>
      <c r="X3" s="93"/>
      <c r="Y3" s="93"/>
    </row>
    <row r="4" spans="1:27" x14ac:dyDescent="0.15">
      <c r="A4" s="105">
        <v>45689</v>
      </c>
      <c r="B4" s="93">
        <v>290</v>
      </c>
      <c r="C4" s="93">
        <v>225</v>
      </c>
      <c r="D4" s="93">
        <v>250</v>
      </c>
      <c r="E4" s="93">
        <v>210</v>
      </c>
      <c r="F4" s="93">
        <v>210</v>
      </c>
      <c r="G4" s="93">
        <v>220</v>
      </c>
      <c r="H4" s="93">
        <f t="shared" ref="H4:H14" si="0">SUM(B4+C4+D4+E4+F4+G4)</f>
        <v>1405</v>
      </c>
      <c r="I4" s="93">
        <v>200</v>
      </c>
      <c r="J4" s="93">
        <v>500</v>
      </c>
      <c r="W4" s="93"/>
      <c r="X4" s="93"/>
      <c r="Y4" s="93"/>
    </row>
    <row r="5" spans="1:27" x14ac:dyDescent="0.15">
      <c r="A5" s="105">
        <v>45717</v>
      </c>
      <c r="B5" s="93">
        <v>290</v>
      </c>
      <c r="C5" s="93">
        <v>225</v>
      </c>
      <c r="D5" s="93">
        <v>250</v>
      </c>
      <c r="E5" s="93">
        <v>210</v>
      </c>
      <c r="F5" s="93">
        <v>210</v>
      </c>
      <c r="G5" s="93">
        <v>220</v>
      </c>
      <c r="H5" s="93">
        <f t="shared" si="0"/>
        <v>1405</v>
      </c>
      <c r="I5" s="93">
        <v>200</v>
      </c>
      <c r="J5" s="93">
        <v>500</v>
      </c>
      <c r="W5" s="93"/>
      <c r="X5" s="93"/>
      <c r="Y5" s="93"/>
    </row>
    <row r="6" spans="1:27" x14ac:dyDescent="0.15">
      <c r="A6" s="105">
        <v>45748</v>
      </c>
      <c r="B6" s="93">
        <v>290</v>
      </c>
      <c r="C6" s="93">
        <v>225</v>
      </c>
      <c r="D6" s="93">
        <v>250</v>
      </c>
      <c r="E6" s="93">
        <v>210</v>
      </c>
      <c r="F6" s="93">
        <v>210</v>
      </c>
      <c r="G6" s="93">
        <v>220</v>
      </c>
      <c r="H6" s="93">
        <f t="shared" si="0"/>
        <v>1405</v>
      </c>
      <c r="I6" s="93">
        <v>200</v>
      </c>
      <c r="J6" s="93">
        <v>500</v>
      </c>
      <c r="W6" s="93"/>
      <c r="X6" s="93"/>
      <c r="Y6" s="93"/>
    </row>
    <row r="7" spans="1:27" x14ac:dyDescent="0.15">
      <c r="A7" s="105">
        <v>45778</v>
      </c>
      <c r="B7" s="93">
        <v>290</v>
      </c>
      <c r="C7" s="93">
        <v>220</v>
      </c>
      <c r="D7" s="93">
        <v>250</v>
      </c>
      <c r="E7" s="93">
        <v>210</v>
      </c>
      <c r="F7" s="93">
        <v>210</v>
      </c>
      <c r="G7" s="93">
        <v>220</v>
      </c>
      <c r="H7" s="93">
        <f t="shared" si="0"/>
        <v>1400</v>
      </c>
      <c r="I7" s="93">
        <v>200</v>
      </c>
      <c r="J7" s="93">
        <v>500</v>
      </c>
      <c r="W7" s="93"/>
      <c r="X7" s="93"/>
      <c r="Y7" s="93"/>
    </row>
    <row r="8" spans="1:27" x14ac:dyDescent="0.15">
      <c r="A8" s="105">
        <v>45809</v>
      </c>
      <c r="B8" s="93">
        <v>290</v>
      </c>
      <c r="C8" s="93">
        <v>220</v>
      </c>
      <c r="D8" s="93">
        <v>250</v>
      </c>
      <c r="E8" s="93">
        <v>210</v>
      </c>
      <c r="F8" s="93">
        <v>210</v>
      </c>
      <c r="G8" s="93">
        <v>220</v>
      </c>
      <c r="H8" s="93">
        <f t="shared" si="0"/>
        <v>1400</v>
      </c>
      <c r="I8" s="93">
        <v>200</v>
      </c>
      <c r="J8" s="93">
        <v>500</v>
      </c>
      <c r="W8" s="93"/>
      <c r="X8" s="93"/>
      <c r="Y8" s="93"/>
    </row>
    <row r="9" spans="1:27" x14ac:dyDescent="0.15">
      <c r="A9" s="105">
        <v>45839</v>
      </c>
      <c r="B9" s="93">
        <v>290</v>
      </c>
      <c r="C9" s="93">
        <v>220</v>
      </c>
      <c r="D9" s="93">
        <v>250</v>
      </c>
      <c r="E9" s="93">
        <v>210</v>
      </c>
      <c r="F9" s="93">
        <v>210</v>
      </c>
      <c r="G9" s="93">
        <v>220</v>
      </c>
      <c r="H9" s="93">
        <f t="shared" si="0"/>
        <v>1400</v>
      </c>
      <c r="I9" s="93">
        <v>200</v>
      </c>
      <c r="J9" s="93">
        <v>500</v>
      </c>
      <c r="W9" s="93"/>
      <c r="X9" s="93"/>
      <c r="Y9" s="93"/>
    </row>
    <row r="10" spans="1:27" x14ac:dyDescent="0.15">
      <c r="A10" s="105">
        <v>45870</v>
      </c>
      <c r="B10" s="93">
        <v>290</v>
      </c>
      <c r="C10" s="93">
        <v>220</v>
      </c>
      <c r="D10" s="93">
        <v>250</v>
      </c>
      <c r="E10" s="93">
        <v>210</v>
      </c>
      <c r="F10" s="93">
        <v>210</v>
      </c>
      <c r="G10" s="93">
        <v>220</v>
      </c>
      <c r="H10" s="93">
        <f t="shared" si="0"/>
        <v>1400</v>
      </c>
      <c r="I10" s="93">
        <v>200</v>
      </c>
      <c r="J10" s="93">
        <v>500</v>
      </c>
      <c r="W10" s="93"/>
      <c r="X10" s="93"/>
      <c r="Y10" s="93"/>
    </row>
    <row r="11" spans="1:27" x14ac:dyDescent="0.15">
      <c r="A11" s="105">
        <v>45901</v>
      </c>
      <c r="B11" s="93">
        <v>290</v>
      </c>
      <c r="C11" s="93">
        <v>220</v>
      </c>
      <c r="D11" s="93">
        <v>250</v>
      </c>
      <c r="E11" s="93">
        <v>210</v>
      </c>
      <c r="F11" s="93">
        <v>210</v>
      </c>
      <c r="G11" s="93">
        <v>220</v>
      </c>
      <c r="H11" s="93">
        <f t="shared" si="0"/>
        <v>1400</v>
      </c>
      <c r="I11" s="93">
        <v>200</v>
      </c>
      <c r="J11" s="93">
        <v>500</v>
      </c>
      <c r="W11" s="93"/>
      <c r="X11" s="93"/>
      <c r="Y11" s="93"/>
    </row>
    <row r="12" spans="1:27" x14ac:dyDescent="0.15">
      <c r="A12" s="105">
        <v>45931</v>
      </c>
      <c r="B12" s="93">
        <v>290</v>
      </c>
      <c r="C12" s="93">
        <v>220</v>
      </c>
      <c r="D12" s="93">
        <v>250</v>
      </c>
      <c r="E12" s="93">
        <v>210</v>
      </c>
      <c r="F12" s="93">
        <v>210</v>
      </c>
      <c r="G12" s="93">
        <v>220</v>
      </c>
      <c r="H12" s="93">
        <f t="shared" si="0"/>
        <v>1400</v>
      </c>
      <c r="I12" s="93">
        <v>200</v>
      </c>
      <c r="J12" s="93">
        <v>500</v>
      </c>
      <c r="W12" s="93"/>
      <c r="X12" s="93"/>
      <c r="Y12" s="93"/>
    </row>
    <row r="13" spans="1:27" x14ac:dyDescent="0.15">
      <c r="A13" s="105">
        <v>45962</v>
      </c>
      <c r="B13" s="93">
        <v>290</v>
      </c>
      <c r="C13" s="93">
        <v>220</v>
      </c>
      <c r="D13" s="93">
        <v>250</v>
      </c>
      <c r="E13" s="93">
        <v>210</v>
      </c>
      <c r="F13" s="93">
        <v>210</v>
      </c>
      <c r="G13" s="93">
        <v>220</v>
      </c>
      <c r="H13" s="93">
        <f t="shared" si="0"/>
        <v>1400</v>
      </c>
      <c r="I13" s="93">
        <v>200</v>
      </c>
      <c r="J13" s="93">
        <v>500</v>
      </c>
      <c r="W13" s="93"/>
      <c r="X13" s="93"/>
      <c r="Y13" s="93"/>
    </row>
    <row r="14" spans="1:27" x14ac:dyDescent="0.15">
      <c r="A14" s="105">
        <v>45992</v>
      </c>
      <c r="B14" s="93">
        <v>290</v>
      </c>
      <c r="C14" s="93">
        <v>220</v>
      </c>
      <c r="D14" s="93">
        <v>250</v>
      </c>
      <c r="E14" s="93">
        <v>210</v>
      </c>
      <c r="F14" s="93">
        <v>210</v>
      </c>
      <c r="G14" s="93">
        <v>220</v>
      </c>
      <c r="H14" s="93">
        <f t="shared" si="0"/>
        <v>1400</v>
      </c>
      <c r="I14" s="93">
        <v>200</v>
      </c>
      <c r="J14" s="93">
        <v>500</v>
      </c>
      <c r="W14" s="93"/>
      <c r="X14" s="93"/>
      <c r="Y14" s="93"/>
    </row>
    <row r="15" spans="1:27" x14ac:dyDescent="0.15"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  <c r="Y15" s="93"/>
      <c r="Z15" s="93"/>
      <c r="AA15" s="93"/>
    </row>
    <row r="16" spans="1:27" x14ac:dyDescent="0.15"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Y16" s="93"/>
      <c r="Z16" s="93"/>
      <c r="AA16" s="93"/>
    </row>
    <row r="18" spans="1:27" x14ac:dyDescent="0.15"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Y18" s="93"/>
      <c r="Z18" s="93"/>
      <c r="AA18" s="93"/>
    </row>
    <row r="19" spans="1:27" s="149" customFormat="1" ht="16" x14ac:dyDescent="0.2">
      <c r="A19" s="147" t="s">
        <v>3</v>
      </c>
      <c r="B19" s="155">
        <f t="shared" ref="B19" si="1">SUM(B3+B4+B5+B6+B7+B8+B9+B10+B11+B12+B13+B14)</f>
        <v>3480</v>
      </c>
      <c r="C19" s="155">
        <f>SUM(C3:C14)</f>
        <v>2660</v>
      </c>
      <c r="D19" s="155">
        <f>SUM(D3:D14)</f>
        <v>3000</v>
      </c>
      <c r="E19" s="155">
        <f t="shared" ref="E19:J19" si="2">SUM(E3:E14)</f>
        <v>2520</v>
      </c>
      <c r="F19" s="155">
        <f t="shared" si="2"/>
        <v>2520</v>
      </c>
      <c r="G19" s="155">
        <f t="shared" si="2"/>
        <v>2640</v>
      </c>
      <c r="H19" s="155">
        <f t="shared" si="2"/>
        <v>16820</v>
      </c>
      <c r="I19" s="155">
        <f t="shared" si="2"/>
        <v>2400</v>
      </c>
      <c r="J19" s="155">
        <f t="shared" si="2"/>
        <v>6000</v>
      </c>
      <c r="V19" s="148"/>
      <c r="W19" s="148"/>
      <c r="X19" s="148"/>
    </row>
    <row r="20" spans="1:27" s="145" customFormat="1" ht="16" x14ac:dyDescent="0.2">
      <c r="A20" s="143" t="s">
        <v>242</v>
      </c>
      <c r="B20" s="144">
        <f>VALUE('W107 Becker'!G37)</f>
        <v>3593.0041513512356</v>
      </c>
      <c r="C20" s="144">
        <f>VALUE('W207 Drost'!G37)</f>
        <v>2695.00608345398</v>
      </c>
      <c r="D20" s="144">
        <f>VALUE('W307 Bernsee'!G37)</f>
        <v>3183.65986939409</v>
      </c>
      <c r="E20" s="144">
        <f>VALUE('W407 Ballestriero'!G37)</f>
        <v>2921.0829526643656</v>
      </c>
      <c r="F20" s="144">
        <f>VALUE('W507 Weber'!G37)</f>
        <v>2597.5107549839249</v>
      </c>
      <c r="G20" s="144">
        <f>VALUE('W607 Gneiting'!G37)</f>
        <v>2540.3761881524033</v>
      </c>
      <c r="H20" s="144">
        <f>SUM(B20:G20)</f>
        <v>17530.64</v>
      </c>
      <c r="I20" s="2" t="s">
        <v>304</v>
      </c>
      <c r="J20" s="144">
        <v>34940.85</v>
      </c>
      <c r="K20" s="158">
        <v>46101</v>
      </c>
      <c r="L20" s="144"/>
      <c r="N20" s="146"/>
      <c r="Y20" s="144"/>
      <c r="Z20" s="144"/>
      <c r="AA20" s="144"/>
    </row>
    <row r="21" spans="1:27" s="145" customFormat="1" ht="16" x14ac:dyDescent="0.2">
      <c r="A21" s="143" t="s">
        <v>24</v>
      </c>
      <c r="B21" s="26">
        <f t="shared" ref="B21" si="3">SUM(B19-B20)</f>
        <v>-113.00415135123558</v>
      </c>
      <c r="C21" s="26">
        <f>SUM(C19-C20)</f>
        <v>-35.006083453979954</v>
      </c>
      <c r="D21" s="26">
        <f>SUM(D19-D20)</f>
        <v>-183.65986939409004</v>
      </c>
      <c r="E21" s="26">
        <f>SUM(E19-E20)</f>
        <v>-401.08295266436562</v>
      </c>
      <c r="F21" s="26">
        <f>SUM(F19-F20)</f>
        <v>-77.510754983924926</v>
      </c>
      <c r="G21" s="26">
        <f>SUM(G19-G20)</f>
        <v>99.623811847596698</v>
      </c>
      <c r="H21" s="157">
        <f>SUM(B21:G21)</f>
        <v>-710.63999999999942</v>
      </c>
      <c r="I21" s="144"/>
      <c r="J21" s="2" t="s">
        <v>289</v>
      </c>
      <c r="K21" s="144"/>
      <c r="L21" s="144"/>
      <c r="N21" s="146"/>
      <c r="Y21" s="144"/>
      <c r="Z21" s="144"/>
      <c r="AA21" s="144"/>
    </row>
    <row r="22" spans="1:27" s="145" customFormat="1" ht="16" x14ac:dyDescent="0.2">
      <c r="A22" s="4"/>
      <c r="B22" s="2"/>
      <c r="C22" s="2"/>
      <c r="D22" s="2"/>
      <c r="E22" s="2"/>
      <c r="F22" s="2"/>
      <c r="G22" s="2"/>
      <c r="H22" s="2"/>
      <c r="I22" s="2"/>
      <c r="J22" s="2"/>
      <c r="K22" s="2"/>
      <c r="L22" s="144"/>
      <c r="N22" s="146"/>
      <c r="Y22" s="144"/>
      <c r="Z22" s="144"/>
      <c r="AA22" s="144"/>
    </row>
    <row r="23" spans="1:27" s="145" customFormat="1" ht="16" x14ac:dyDescent="0.2">
      <c r="A23" s="72" t="s">
        <v>217</v>
      </c>
      <c r="B23" s="93" t="s">
        <v>243</v>
      </c>
      <c r="C23" s="93">
        <v>60.45</v>
      </c>
      <c r="D23" s="156" t="s">
        <v>306</v>
      </c>
      <c r="E23" s="93"/>
      <c r="F23" s="149"/>
      <c r="G23" s="72"/>
      <c r="H23" s="72"/>
      <c r="I23" s="106" t="s">
        <v>299</v>
      </c>
      <c r="J23" s="93">
        <f>SUM(B19+C19+D19+E19+F19+G19)</f>
        <v>16820</v>
      </c>
      <c r="K23" s="93"/>
      <c r="L23" s="144"/>
      <c r="N23" s="146"/>
      <c r="Y23" s="144"/>
      <c r="Z23" s="144"/>
      <c r="AA23" s="144"/>
    </row>
    <row r="24" spans="1:27" customFormat="1" ht="16" x14ac:dyDescent="0.2">
      <c r="A24" s="72"/>
      <c r="B24" s="93" t="s">
        <v>244</v>
      </c>
      <c r="C24" s="93">
        <v>1726.84</v>
      </c>
      <c r="D24" s="104"/>
      <c r="E24" s="93"/>
      <c r="F24" s="93"/>
      <c r="G24" s="72"/>
      <c r="H24" s="72"/>
      <c r="I24" s="107" t="s">
        <v>300</v>
      </c>
      <c r="J24" s="93">
        <f>VALUE(H20)</f>
        <v>17530.64</v>
      </c>
      <c r="K24" s="93"/>
      <c r="L24" s="2"/>
      <c r="N24" s="114"/>
      <c r="Y24" s="2"/>
      <c r="Z24" s="2"/>
      <c r="AA24" s="2"/>
    </row>
    <row r="25" spans="1:27" x14ac:dyDescent="0.15">
      <c r="B25" s="104" t="s">
        <v>35</v>
      </c>
      <c r="C25" s="93">
        <f>SUM(C23+C24)</f>
        <v>1787.29</v>
      </c>
      <c r="E25" s="93"/>
      <c r="F25" s="104"/>
      <c r="I25" s="104" t="s">
        <v>24</v>
      </c>
      <c r="J25" s="108">
        <f>SUM(J23-J24)</f>
        <v>-710.63999999999942</v>
      </c>
      <c r="K25" s="108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</row>
    <row r="26" spans="1:27" x14ac:dyDescent="0.15">
      <c r="F26" s="104"/>
      <c r="I26" s="130" t="s">
        <v>277</v>
      </c>
      <c r="J26" s="108">
        <f>SUM('W107 Becker'!G42+'W207 Drost'!G42+'W307 Bernsee'!G42+'W407 Ballestriero'!G42+'W507 Weber'!G42+'W607 Gneiting'!G43)</f>
        <v>-710.63999999999942</v>
      </c>
      <c r="K26" s="108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</row>
    <row r="27" spans="1:27" x14ac:dyDescent="0.15">
      <c r="F27" s="104"/>
      <c r="G27" s="104"/>
      <c r="J27" s="109"/>
      <c r="K27" s="108"/>
      <c r="L27" s="108"/>
      <c r="S27" s="93"/>
    </row>
    <row r="28" spans="1:27" x14ac:dyDescent="0.15">
      <c r="F28" s="104"/>
      <c r="G28" s="104"/>
      <c r="J28" s="109"/>
      <c r="K28" s="108"/>
      <c r="S28" s="93"/>
    </row>
    <row r="29" spans="1:27" x14ac:dyDescent="0.15">
      <c r="A29" s="90"/>
      <c r="B29" s="90" t="s">
        <v>298</v>
      </c>
      <c r="C29" s="90" t="s">
        <v>245</v>
      </c>
      <c r="D29" s="90" t="s">
        <v>246</v>
      </c>
      <c r="E29" s="90" t="s">
        <v>252</v>
      </c>
      <c r="F29" s="90" t="s">
        <v>247</v>
      </c>
      <c r="G29" s="90" t="s">
        <v>248</v>
      </c>
      <c r="H29" s="90" t="s">
        <v>249</v>
      </c>
      <c r="I29" s="90" t="s">
        <v>250</v>
      </c>
      <c r="J29" s="90" t="s">
        <v>251</v>
      </c>
      <c r="K29" s="90"/>
      <c r="M29" s="93"/>
      <c r="S29" s="93"/>
    </row>
    <row r="30" spans="1:27" x14ac:dyDescent="0.15">
      <c r="A30" s="105">
        <v>45292</v>
      </c>
      <c r="B30" s="93">
        <v>39</v>
      </c>
      <c r="C30" s="93">
        <v>290</v>
      </c>
      <c r="D30" s="93"/>
      <c r="E30" s="93"/>
      <c r="F30" s="93"/>
      <c r="G30" s="93">
        <v>442.07</v>
      </c>
      <c r="H30" s="93">
        <v>50</v>
      </c>
      <c r="I30" s="93"/>
      <c r="J30" s="93"/>
      <c r="S30" s="93"/>
    </row>
    <row r="31" spans="1:27" s="90" customFormat="1" x14ac:dyDescent="0.15">
      <c r="A31" s="105">
        <v>45323</v>
      </c>
      <c r="B31" s="93">
        <f>39+28.15+30.15</f>
        <v>97.300000000000011</v>
      </c>
      <c r="C31" s="93">
        <v>290</v>
      </c>
      <c r="D31" s="93"/>
      <c r="E31" s="93"/>
      <c r="F31" s="93"/>
      <c r="G31" s="93"/>
      <c r="H31" s="93"/>
      <c r="I31" s="93">
        <v>304.95</v>
      </c>
      <c r="J31" s="93"/>
      <c r="K31" s="72"/>
      <c r="Q31" s="110"/>
    </row>
    <row r="32" spans="1:27" x14ac:dyDescent="0.15">
      <c r="A32" s="105">
        <v>45352</v>
      </c>
      <c r="B32" s="93">
        <v>39</v>
      </c>
      <c r="C32" s="93">
        <v>290</v>
      </c>
      <c r="D32" s="93"/>
      <c r="E32" s="93">
        <v>44.65</v>
      </c>
      <c r="F32" s="93">
        <v>496.8</v>
      </c>
      <c r="G32" s="93"/>
      <c r="H32" s="93"/>
      <c r="I32" s="93"/>
      <c r="J32" s="93"/>
      <c r="L32" s="93"/>
      <c r="Q32" s="93"/>
    </row>
    <row r="33" spans="1:17" x14ac:dyDescent="0.15">
      <c r="A33" s="105">
        <v>45383</v>
      </c>
      <c r="B33" s="93">
        <v>39</v>
      </c>
      <c r="C33" s="93">
        <v>290</v>
      </c>
      <c r="D33" s="93"/>
      <c r="F33" s="93"/>
      <c r="G33" s="93">
        <v>160.66</v>
      </c>
      <c r="H33" s="93"/>
      <c r="J33" s="93"/>
      <c r="Q33" s="93"/>
    </row>
    <row r="34" spans="1:17" x14ac:dyDescent="0.15">
      <c r="A34" s="105">
        <v>45413</v>
      </c>
      <c r="B34" s="93">
        <v>39</v>
      </c>
      <c r="C34" s="93">
        <v>290</v>
      </c>
      <c r="D34" s="93"/>
      <c r="E34" s="93"/>
      <c r="F34" s="93"/>
      <c r="G34" s="93">
        <v>497.92</v>
      </c>
      <c r="H34" s="93"/>
      <c r="I34" s="93"/>
      <c r="J34" s="93"/>
      <c r="K34" s="93"/>
      <c r="L34" s="93"/>
      <c r="M34" s="93"/>
    </row>
    <row r="35" spans="1:17" x14ac:dyDescent="0.15">
      <c r="A35" s="105">
        <v>45444</v>
      </c>
      <c r="B35" s="93">
        <v>39</v>
      </c>
      <c r="C35" s="93">
        <v>290</v>
      </c>
      <c r="D35" s="93"/>
      <c r="E35" s="93">
        <v>46.5</v>
      </c>
      <c r="F35" s="93"/>
      <c r="G35" s="93"/>
      <c r="H35" s="93"/>
      <c r="I35" s="93"/>
      <c r="J35" s="93"/>
      <c r="K35" s="93"/>
    </row>
    <row r="36" spans="1:17" x14ac:dyDescent="0.15">
      <c r="A36" s="105">
        <v>45474</v>
      </c>
      <c r="B36" s="93">
        <v>39</v>
      </c>
      <c r="C36" s="93">
        <v>290</v>
      </c>
      <c r="D36" s="93">
        <v>99.81</v>
      </c>
      <c r="E36" s="93"/>
      <c r="F36" s="93"/>
      <c r="G36" s="93">
        <v>497.92</v>
      </c>
      <c r="H36" s="93"/>
      <c r="I36" s="93"/>
      <c r="J36" s="93"/>
      <c r="K36" s="93"/>
    </row>
    <row r="37" spans="1:17" x14ac:dyDescent="0.15">
      <c r="A37" s="105">
        <v>45505</v>
      </c>
      <c r="B37" s="93">
        <v>39</v>
      </c>
      <c r="C37" s="93">
        <v>290</v>
      </c>
      <c r="D37" s="93"/>
      <c r="E37" s="93"/>
      <c r="F37" s="93"/>
      <c r="G37" s="93"/>
      <c r="H37" s="93"/>
      <c r="I37" s="93"/>
      <c r="J37" s="93"/>
      <c r="K37" s="93"/>
    </row>
    <row r="38" spans="1:17" x14ac:dyDescent="0.15">
      <c r="A38" s="105">
        <v>45536</v>
      </c>
      <c r="B38" s="93">
        <v>39</v>
      </c>
      <c r="C38" s="93">
        <v>290</v>
      </c>
      <c r="D38" s="93"/>
      <c r="E38" s="93">
        <v>40.9</v>
      </c>
      <c r="F38" s="93"/>
      <c r="G38" s="93"/>
      <c r="H38" s="93"/>
      <c r="I38" s="93"/>
      <c r="J38" s="93"/>
      <c r="L38" s="93"/>
    </row>
    <row r="39" spans="1:17" x14ac:dyDescent="0.15">
      <c r="A39" s="105">
        <v>45566</v>
      </c>
      <c r="B39" s="93">
        <v>39</v>
      </c>
      <c r="C39" s="93">
        <v>290</v>
      </c>
      <c r="D39" s="93"/>
      <c r="E39" s="93"/>
      <c r="F39" s="93"/>
      <c r="G39" s="93">
        <v>497.92</v>
      </c>
      <c r="H39" s="93"/>
      <c r="I39" s="93"/>
      <c r="J39" s="93"/>
      <c r="L39" s="93"/>
    </row>
    <row r="40" spans="1:17" x14ac:dyDescent="0.15">
      <c r="A40" s="105">
        <v>45597</v>
      </c>
      <c r="B40" s="93">
        <v>39</v>
      </c>
      <c r="C40" s="93">
        <v>290</v>
      </c>
      <c r="D40" s="93"/>
      <c r="E40" s="93"/>
      <c r="F40" s="93"/>
      <c r="G40" s="93"/>
      <c r="H40" s="93"/>
      <c r="I40" s="93"/>
      <c r="J40" s="93"/>
      <c r="K40" s="93"/>
      <c r="L40" s="93" t="s">
        <v>294</v>
      </c>
      <c r="M40" s="93"/>
    </row>
    <row r="41" spans="1:17" x14ac:dyDescent="0.15">
      <c r="A41" s="105">
        <v>45627</v>
      </c>
      <c r="B41" s="93">
        <v>39</v>
      </c>
      <c r="C41" s="93">
        <v>290</v>
      </c>
      <c r="D41" s="93"/>
      <c r="E41" s="93">
        <v>40.9</v>
      </c>
      <c r="F41" s="93"/>
      <c r="G41" s="93"/>
      <c r="H41" s="93"/>
      <c r="I41" s="93"/>
      <c r="J41" s="93"/>
      <c r="K41" s="93"/>
      <c r="L41" s="93"/>
      <c r="M41" s="93"/>
    </row>
    <row r="42" spans="1:17" ht="16" x14ac:dyDescent="0.2">
      <c r="A42" s="111" t="s">
        <v>35</v>
      </c>
      <c r="B42" s="154">
        <f>SUM(B30:B41)</f>
        <v>526.29999999999995</v>
      </c>
      <c r="C42" s="26">
        <f>SUM(C31:C41)</f>
        <v>3190</v>
      </c>
      <c r="D42" s="154">
        <f>SUM(D30+D31+D32+D33+D34+D35+D36+D37+D38+D39+D40+D41)</f>
        <v>99.81</v>
      </c>
      <c r="E42" s="154">
        <f>SUM(E30+E31+E32+E34+E35+E36+E37+E38+E39+E40+E41)</f>
        <v>172.95000000000002</v>
      </c>
      <c r="F42" s="154">
        <f>SUM(F30+F31+F32+F33+F34+F35+F36+F37+F38+F39+F40+F41)</f>
        <v>496.8</v>
      </c>
      <c r="G42" s="154">
        <f>SUM(G30+G31+G32+G33+G34+G35+G36+G37+G38+G39+G40+G41)</f>
        <v>2096.4900000000002</v>
      </c>
      <c r="H42" s="154">
        <f>SUM(H30+H31+H37+H40+H32+H33+H34+H35+H36+H38+H39+H41)</f>
        <v>50</v>
      </c>
      <c r="I42" s="154">
        <f>SUM(I30+I32+I31+I34+I39+I40+I41)</f>
        <v>304.95</v>
      </c>
      <c r="J42" s="154">
        <f>SUM(J30:J41)</f>
        <v>0</v>
      </c>
      <c r="K42" s="93"/>
      <c r="L42" s="93"/>
    </row>
    <row r="43" spans="1:17" ht="16" x14ac:dyDescent="0.2">
      <c r="A43" s="111"/>
      <c r="B43" s="93"/>
      <c r="C43" s="93"/>
      <c r="D43" s="93"/>
      <c r="E43" s="93"/>
      <c r="F43" s="93"/>
      <c r="G43" s="2"/>
      <c r="H43" s="93"/>
      <c r="I43" s="93"/>
      <c r="J43" s="93"/>
      <c r="L43" s="93"/>
    </row>
    <row r="44" spans="1:17" x14ac:dyDescent="0.15">
      <c r="A44" s="111"/>
      <c r="B44" s="93"/>
      <c r="C44" s="93"/>
      <c r="D44" s="93"/>
      <c r="E44" s="93"/>
      <c r="F44" s="93"/>
      <c r="G44" s="93"/>
      <c r="H44" s="93"/>
      <c r="I44" s="93"/>
      <c r="J44" s="93"/>
      <c r="K44" s="93"/>
      <c r="L44" s="93"/>
      <c r="M44" s="93"/>
    </row>
    <row r="45" spans="1:17" x14ac:dyDescent="0.15">
      <c r="B45" s="93"/>
      <c r="C45" s="93"/>
      <c r="D45" s="93"/>
      <c r="E45" s="93"/>
      <c r="F45" s="93"/>
      <c r="G45" s="93"/>
      <c r="H45" s="93"/>
      <c r="I45" s="93"/>
      <c r="J45" s="93"/>
      <c r="K45" s="93"/>
      <c r="M45" s="93"/>
    </row>
    <row r="46" spans="1:17" x14ac:dyDescent="0.15">
      <c r="F46" s="104"/>
      <c r="G46" s="104"/>
      <c r="L46" s="93"/>
      <c r="M46" s="93"/>
    </row>
    <row r="47" spans="1:17" x14ac:dyDescent="0.15">
      <c r="A47" s="111"/>
      <c r="F47" s="104"/>
      <c r="G47" s="104"/>
      <c r="L47" s="93"/>
      <c r="M47" s="93"/>
    </row>
    <row r="48" spans="1:17" x14ac:dyDescent="0.15">
      <c r="F48" s="104"/>
      <c r="G48" s="104"/>
    </row>
    <row r="49" spans="4:10" x14ac:dyDescent="0.15">
      <c r="F49" s="104"/>
      <c r="G49" s="104"/>
    </row>
    <row r="50" spans="4:10" x14ac:dyDescent="0.15">
      <c r="F50" s="104"/>
      <c r="G50" s="104"/>
    </row>
    <row r="51" spans="4:10" x14ac:dyDescent="0.15">
      <c r="D51" s="72"/>
      <c r="F51" s="104"/>
      <c r="G51" s="104"/>
      <c r="I51" s="72"/>
      <c r="J51" s="72"/>
    </row>
    <row r="52" spans="4:10" x14ac:dyDescent="0.15">
      <c r="D52" s="72"/>
      <c r="F52" s="104"/>
      <c r="G52" s="104"/>
      <c r="I52" s="72"/>
      <c r="J52" s="72"/>
    </row>
    <row r="53" spans="4:10" x14ac:dyDescent="0.15">
      <c r="D53" s="72"/>
      <c r="F53" s="104"/>
      <c r="G53" s="104"/>
      <c r="I53" s="72"/>
      <c r="J53" s="72"/>
    </row>
    <row r="54" spans="4:10" x14ac:dyDescent="0.15">
      <c r="D54" s="72"/>
      <c r="F54" s="104"/>
      <c r="G54" s="104"/>
      <c r="I54" s="72"/>
      <c r="J54" s="72"/>
    </row>
    <row r="55" spans="4:10" x14ac:dyDescent="0.15">
      <c r="D55" s="72"/>
      <c r="F55" s="104"/>
      <c r="G55" s="104"/>
      <c r="I55" s="72"/>
      <c r="J55" s="72"/>
    </row>
  </sheetData>
  <mergeCells count="1">
    <mergeCell ref="A1:K1"/>
  </mergeCells>
  <phoneticPr fontId="10" type="noConversion"/>
  <conditionalFormatting sqref="N20:N23">
    <cfRule type="cellIs" dxfId="2" priority="3" operator="equal">
      <formula>"$N$13=$I$19"</formula>
    </cfRule>
  </conditionalFormatting>
  <conditionalFormatting sqref="B21:G21">
    <cfRule type="cellIs" dxfId="1" priority="2" operator="greaterThan">
      <formula>0</formula>
    </cfRule>
    <cfRule type="cellIs" dxfId="0" priority="1" operator="lessThan">
      <formula>0</formula>
    </cfRule>
  </conditionalFormatting>
  <printOptions horizontalCentered="1" verticalCentered="1"/>
  <pageMargins left="0.7" right="0.7" top="0.75" bottom="0.75" header="0.3" footer="0.3"/>
  <pageSetup paperSize="9" scale="88" orientation="landscape" horizontalDpi="0" verticalDpi="0" copies="6"/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>
    <pageSetUpPr fitToPage="1"/>
  </sheetPr>
  <dimension ref="A1:H45"/>
  <sheetViews>
    <sheetView showRuler="0" workbookViewId="0">
      <selection activeCell="C34" sqref="C34:C35"/>
    </sheetView>
  </sheetViews>
  <sheetFormatPr baseColWidth="10" defaultColWidth="11" defaultRowHeight="16" x14ac:dyDescent="0.2"/>
  <cols>
    <col min="1" max="1" width="18.5" customWidth="1"/>
    <col min="2" max="2" width="12.1640625" customWidth="1"/>
    <col min="4" max="4" width="15.1640625" customWidth="1"/>
    <col min="5" max="5" width="18.1640625" customWidth="1"/>
    <col min="6" max="6" width="15.83203125" bestFit="1" customWidth="1"/>
    <col min="7" max="7" width="13.5" customWidth="1"/>
  </cols>
  <sheetData>
    <row r="1" spans="1:8" x14ac:dyDescent="0.2">
      <c r="A1" s="6" t="s">
        <v>8</v>
      </c>
      <c r="B1" s="6"/>
      <c r="C1" s="6" t="s">
        <v>16</v>
      </c>
      <c r="D1" s="6" t="s">
        <v>17</v>
      </c>
      <c r="E1" s="112" t="s">
        <v>315</v>
      </c>
    </row>
    <row r="2" spans="1:8" x14ac:dyDescent="0.2">
      <c r="E2" s="2"/>
    </row>
    <row r="3" spans="1:8" x14ac:dyDescent="0.2">
      <c r="A3" s="162" t="s">
        <v>5</v>
      </c>
      <c r="B3" s="162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SUM(Hauptabrechnung!C47)</f>
        <v>948.67439716817694</v>
      </c>
      <c r="D4" s="15">
        <v>414.52</v>
      </c>
      <c r="E4" s="2">
        <f>SUM(C4/D4)</f>
        <v>2.2886094691888861</v>
      </c>
      <c r="F4" s="15">
        <v>81.739999999999995</v>
      </c>
      <c r="G4" t="s">
        <v>15</v>
      </c>
      <c r="H4" s="2">
        <f>SUM(E4*F4)</f>
        <v>187.07093801149955</v>
      </c>
    </row>
    <row r="5" spans="1:8" x14ac:dyDescent="0.2">
      <c r="A5" t="s">
        <v>12</v>
      </c>
      <c r="C5" s="2">
        <f>SUM(Hauptabrechnung!C48)</f>
        <v>2213.5735933924129</v>
      </c>
      <c r="D5" s="36">
        <f>VALUE(Hauptabrechnung!D48)</f>
        <v>17664.22</v>
      </c>
      <c r="E5" s="2">
        <f>SUM(C5/D5)</f>
        <v>0.1253139732970045</v>
      </c>
      <c r="F5" s="36">
        <f>VALUE(H27)</f>
        <v>2694.0340000000001</v>
      </c>
      <c r="G5" t="s">
        <v>67</v>
      </c>
      <c r="H5" s="2">
        <f>SUM(E5*F5)</f>
        <v>337.60010473722224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62" t="s">
        <v>1</v>
      </c>
      <c r="B7" s="162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SUM(Hauptabrechnung!C51)</f>
        <v>366.70126919893301</v>
      </c>
      <c r="D8" s="15">
        <v>414.52</v>
      </c>
      <c r="E8" s="2">
        <f>SUM(C8/D8)</f>
        <v>0.88464071504133224</v>
      </c>
      <c r="F8" s="15">
        <v>81.739999999999995</v>
      </c>
      <c r="G8" t="s">
        <v>15</v>
      </c>
      <c r="H8" s="2">
        <f>SUM(E8*F8)</f>
        <v>72.310532047478489</v>
      </c>
    </row>
    <row r="9" spans="1:8" x14ac:dyDescent="0.2">
      <c r="A9" t="s">
        <v>12</v>
      </c>
      <c r="C9" s="2">
        <f>SUM(Hauptabrechnung!C52)</f>
        <v>855.63629479751035</v>
      </c>
      <c r="D9" s="15">
        <f>VALUE(Hauptabrechnung!D52)</f>
        <v>75.512</v>
      </c>
      <c r="E9" s="2">
        <f>SUM(C9/D9)</f>
        <v>11.331130082602902</v>
      </c>
      <c r="F9" s="15">
        <f>VALUE(H31)</f>
        <v>34.5</v>
      </c>
      <c r="G9" t="s">
        <v>68</v>
      </c>
      <c r="H9" s="2">
        <f>SUM(E9*F9)</f>
        <v>390.92398784980014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62" t="s">
        <v>4</v>
      </c>
      <c r="B11" s="162"/>
      <c r="C11" s="2">
        <f>SUM(Hauptabrechnung!C54)</f>
        <v>1307.9544454429661</v>
      </c>
      <c r="D11" s="15">
        <f>VALUE(Hauptabrechnung!B15)</f>
        <v>193.77500000000003</v>
      </c>
      <c r="E11" s="2">
        <f>SUM(C11/D11)</f>
        <v>6.7498616717479853</v>
      </c>
      <c r="F11" s="15">
        <f>VALUE(H36)</f>
        <v>76.470000000000027</v>
      </c>
      <c r="G11" t="s">
        <v>68</v>
      </c>
      <c r="H11" s="2">
        <f>SUM(E11*F11)</f>
        <v>516.1619220385686</v>
      </c>
    </row>
    <row r="12" spans="1:8" x14ac:dyDescent="0.2">
      <c r="A12" t="s">
        <v>138</v>
      </c>
    </row>
    <row r="13" spans="1:8" x14ac:dyDescent="0.2">
      <c r="A13" s="162" t="s">
        <v>3</v>
      </c>
      <c r="B13" s="162"/>
      <c r="C13" s="2">
        <f>SUM(C4:C11)</f>
        <v>5692.5399999999991</v>
      </c>
      <c r="H13" s="2">
        <f>SUM(H4+H5+H8+H9+H11)</f>
        <v>1504.0674846845691</v>
      </c>
    </row>
    <row r="14" spans="1:8" x14ac:dyDescent="0.2">
      <c r="A14" s="162" t="s">
        <v>122</v>
      </c>
      <c r="B14" s="162"/>
      <c r="H14" s="2">
        <f>VALUE([1]Becker!$H$13)</f>
        <v>1653.4811773678414</v>
      </c>
    </row>
    <row r="15" spans="1:8" x14ac:dyDescent="0.2">
      <c r="A15" s="162" t="s">
        <v>24</v>
      </c>
      <c r="B15" s="162"/>
      <c r="H15" s="2">
        <f>SUM(H13-H14)</f>
        <v>-149.4136926832723</v>
      </c>
    </row>
    <row r="18" spans="1:8" s="21" customFormat="1" x14ac:dyDescent="0.2">
      <c r="A18" s="50" t="s">
        <v>25</v>
      </c>
      <c r="B18" s="21" t="s">
        <v>144</v>
      </c>
      <c r="C18" s="51" t="s">
        <v>27</v>
      </c>
      <c r="D18" s="51" t="s">
        <v>54</v>
      </c>
      <c r="E18" s="51" t="s">
        <v>114</v>
      </c>
      <c r="F18" s="51"/>
      <c r="G18" s="51" t="s">
        <v>29</v>
      </c>
      <c r="H18" s="51" t="s">
        <v>30</v>
      </c>
    </row>
    <row r="19" spans="1:8" x14ac:dyDescent="0.2">
      <c r="A19" s="63">
        <v>90878776</v>
      </c>
      <c r="B19" t="s">
        <v>55</v>
      </c>
      <c r="C19" s="17"/>
      <c r="D19" t="s">
        <v>80</v>
      </c>
      <c r="E19" s="64">
        <v>1.7170000000000001</v>
      </c>
      <c r="F19" s="36"/>
      <c r="G19" s="36">
        <f>VALUE('Ablesung Becker'!F3)</f>
        <v>123</v>
      </c>
      <c r="H19" s="36">
        <f t="shared" ref="H19:H26" si="0">SUM(G19*E19)</f>
        <v>211.191</v>
      </c>
    </row>
    <row r="20" spans="1:8" x14ac:dyDescent="0.2">
      <c r="A20" s="63">
        <v>90878777</v>
      </c>
      <c r="B20" t="s">
        <v>56</v>
      </c>
      <c r="C20" s="17"/>
      <c r="D20" t="s">
        <v>94</v>
      </c>
      <c r="E20" s="64">
        <v>0.88200000000000001</v>
      </c>
      <c r="F20" s="36"/>
      <c r="G20" s="36">
        <f>VALUE('Ablesung Becker'!F4)</f>
        <v>0</v>
      </c>
      <c r="H20" s="36">
        <f t="shared" si="0"/>
        <v>0</v>
      </c>
    </row>
    <row r="21" spans="1:8" x14ac:dyDescent="0.2">
      <c r="A21" s="63">
        <v>90878834</v>
      </c>
      <c r="B21" t="s">
        <v>59</v>
      </c>
      <c r="C21" s="17"/>
      <c r="D21" t="s">
        <v>96</v>
      </c>
      <c r="E21" s="64">
        <v>0.86699999999999999</v>
      </c>
      <c r="F21" s="36" t="s">
        <v>303</v>
      </c>
      <c r="G21" s="36">
        <f>VALUE('Ablesung Becker'!F5)</f>
        <v>219</v>
      </c>
      <c r="H21" s="36">
        <f t="shared" si="0"/>
        <v>189.87299999999999</v>
      </c>
    </row>
    <row r="22" spans="1:8" x14ac:dyDescent="0.2">
      <c r="A22" s="63">
        <v>90878779</v>
      </c>
      <c r="B22" t="s">
        <v>59</v>
      </c>
      <c r="C22" s="17"/>
      <c r="D22" t="s">
        <v>96</v>
      </c>
      <c r="E22" s="64">
        <v>0.86699999999999999</v>
      </c>
      <c r="F22" s="36"/>
      <c r="G22" s="36">
        <f>VALUE('Ablesung Becker'!F6)</f>
        <v>81</v>
      </c>
      <c r="H22" s="36">
        <f t="shared" si="0"/>
        <v>70.227000000000004</v>
      </c>
    </row>
    <row r="23" spans="1:8" x14ac:dyDescent="0.2">
      <c r="A23" s="63">
        <v>90878835</v>
      </c>
      <c r="B23" t="s">
        <v>58</v>
      </c>
      <c r="C23" s="17"/>
      <c r="D23" t="s">
        <v>80</v>
      </c>
      <c r="E23" s="64">
        <v>2.2890000000000001</v>
      </c>
      <c r="F23" s="36" t="s">
        <v>303</v>
      </c>
      <c r="G23" s="36">
        <f>VALUE('Ablesung Becker'!F7)</f>
        <v>920</v>
      </c>
      <c r="H23" s="36">
        <f t="shared" si="0"/>
        <v>2105.88</v>
      </c>
    </row>
    <row r="24" spans="1:8" x14ac:dyDescent="0.2">
      <c r="A24" s="63">
        <v>90878786</v>
      </c>
      <c r="B24" t="s">
        <v>58</v>
      </c>
      <c r="C24" s="17"/>
      <c r="D24" t="s">
        <v>82</v>
      </c>
      <c r="E24" s="64">
        <v>1.7170000000000001</v>
      </c>
      <c r="F24" s="36"/>
      <c r="G24" s="36">
        <f>VALUE('Ablesung Becker'!F8)</f>
        <v>14</v>
      </c>
      <c r="H24" s="36">
        <f t="shared" si="0"/>
        <v>24.038</v>
      </c>
    </row>
    <row r="25" spans="1:8" x14ac:dyDescent="0.2">
      <c r="A25" s="63">
        <v>90878787</v>
      </c>
      <c r="B25" t="s">
        <v>60</v>
      </c>
      <c r="C25" s="17"/>
      <c r="D25" t="s">
        <v>87</v>
      </c>
      <c r="E25" s="64">
        <v>1.175</v>
      </c>
      <c r="F25" s="36"/>
      <c r="G25" s="36">
        <f>VALUE('Ablesung Becker'!F9)</f>
        <v>79</v>
      </c>
      <c r="H25" s="36">
        <f t="shared" si="0"/>
        <v>92.825000000000003</v>
      </c>
    </row>
    <row r="26" spans="1:8" x14ac:dyDescent="0.2">
      <c r="A26" s="63">
        <v>90878788</v>
      </c>
      <c r="B26" t="s">
        <v>57</v>
      </c>
      <c r="C26" s="17"/>
      <c r="D26" t="s">
        <v>95</v>
      </c>
      <c r="E26" s="64">
        <v>1.782</v>
      </c>
      <c r="F26" s="36"/>
      <c r="G26" s="36">
        <f>VALUE('Ablesung Becker'!F10)</f>
        <v>0</v>
      </c>
      <c r="H26" s="36">
        <f t="shared" si="0"/>
        <v>0</v>
      </c>
    </row>
    <row r="27" spans="1:8" x14ac:dyDescent="0.2">
      <c r="A27" s="12"/>
      <c r="G27" s="18" t="s">
        <v>35</v>
      </c>
      <c r="H27" s="36">
        <f>SUM(H19:H25)</f>
        <v>2694.0340000000001</v>
      </c>
    </row>
    <row r="28" spans="1:8" x14ac:dyDescent="0.2">
      <c r="A28" s="12"/>
      <c r="C28" s="10"/>
      <c r="F28" s="3"/>
    </row>
    <row r="29" spans="1:8" s="21" customFormat="1" x14ac:dyDescent="0.2">
      <c r="A29" s="50" t="s">
        <v>31</v>
      </c>
      <c r="C29" s="55" t="s">
        <v>27</v>
      </c>
      <c r="D29" s="51" t="s">
        <v>131</v>
      </c>
      <c r="E29" s="51" t="s">
        <v>114</v>
      </c>
      <c r="F29" s="51" t="s">
        <v>28</v>
      </c>
      <c r="G29" s="56" t="s">
        <v>29</v>
      </c>
      <c r="H29" s="51" t="s">
        <v>30</v>
      </c>
    </row>
    <row r="30" spans="1:8" x14ac:dyDescent="0.2">
      <c r="A30" s="12">
        <v>36946744</v>
      </c>
      <c r="B30" t="s">
        <v>55</v>
      </c>
      <c r="C30" s="17"/>
      <c r="D30" t="s">
        <v>133</v>
      </c>
      <c r="E30">
        <v>1</v>
      </c>
      <c r="F30" s="134">
        <f>VALUE('Ablesung Becker'!E14)</f>
        <v>225</v>
      </c>
      <c r="G30" s="134">
        <f>VALUE('Ablesung Becker'!F14)</f>
        <v>259.5</v>
      </c>
      <c r="H30" s="3">
        <f>G30-F30</f>
        <v>34.5</v>
      </c>
    </row>
    <row r="31" spans="1:8" x14ac:dyDescent="0.2">
      <c r="A31" s="12"/>
      <c r="C31" s="10"/>
      <c r="G31" s="13" t="s">
        <v>35</v>
      </c>
      <c r="H31" s="42">
        <f>SUM(H30)</f>
        <v>34.5</v>
      </c>
    </row>
    <row r="32" spans="1:8" x14ac:dyDescent="0.2">
      <c r="A32" s="12"/>
      <c r="C32" s="10"/>
      <c r="G32" s="3"/>
    </row>
    <row r="33" spans="1:8" s="21" customFormat="1" x14ac:dyDescent="0.2">
      <c r="A33" s="50" t="s">
        <v>32</v>
      </c>
      <c r="C33" s="55" t="s">
        <v>27</v>
      </c>
      <c r="D33" s="51" t="s">
        <v>131</v>
      </c>
      <c r="E33" s="51" t="s">
        <v>114</v>
      </c>
      <c r="F33" s="51" t="s">
        <v>28</v>
      </c>
      <c r="G33" s="56" t="s">
        <v>29</v>
      </c>
      <c r="H33" s="51" t="s">
        <v>30</v>
      </c>
    </row>
    <row r="34" spans="1:8" x14ac:dyDescent="0.2">
      <c r="A34" s="12">
        <v>37425700</v>
      </c>
      <c r="B34" t="s">
        <v>55</v>
      </c>
      <c r="C34" s="17"/>
      <c r="D34" t="s">
        <v>133</v>
      </c>
      <c r="E34">
        <v>1</v>
      </c>
      <c r="F34" s="3">
        <f>VALUE('Ablesung Becker'!E16)</f>
        <v>398.5</v>
      </c>
      <c r="G34" s="134">
        <f>VALUE('Ablesung Becker'!F16)</f>
        <v>464.72</v>
      </c>
      <c r="H34" s="3">
        <f>G34-F34</f>
        <v>66.220000000000027</v>
      </c>
    </row>
    <row r="35" spans="1:8" x14ac:dyDescent="0.2">
      <c r="A35" s="12" t="s">
        <v>33</v>
      </c>
      <c r="B35" t="s">
        <v>34</v>
      </c>
      <c r="C35" s="17"/>
      <c r="D35" t="s">
        <v>133</v>
      </c>
      <c r="E35">
        <v>1</v>
      </c>
      <c r="F35" s="3">
        <f>VALUE('Ablesung Becker'!E17)</f>
        <v>113</v>
      </c>
      <c r="G35" s="134">
        <f>VALUE('Ablesung Becker'!F17)</f>
        <v>123.25</v>
      </c>
      <c r="H35" s="3">
        <f>G35-F35</f>
        <v>10.25</v>
      </c>
    </row>
    <row r="36" spans="1:8" x14ac:dyDescent="0.2">
      <c r="A36" s="12"/>
      <c r="C36" s="10"/>
      <c r="G36" s="13" t="s">
        <v>35</v>
      </c>
      <c r="H36" s="41">
        <f>SUM(H34+H35)</f>
        <v>76.470000000000027</v>
      </c>
    </row>
    <row r="37" spans="1:8" x14ac:dyDescent="0.2">
      <c r="A37" s="12"/>
      <c r="C37" s="10"/>
      <c r="F37" s="3"/>
    </row>
    <row r="38" spans="1:8" x14ac:dyDescent="0.2">
      <c r="A38" s="12"/>
      <c r="C38" s="10"/>
      <c r="F38" s="3"/>
    </row>
    <row r="39" spans="1:8" x14ac:dyDescent="0.2">
      <c r="A39" s="12"/>
      <c r="C39" s="10"/>
      <c r="F39" s="3"/>
    </row>
    <row r="40" spans="1:8" x14ac:dyDescent="0.2">
      <c r="A40" s="12"/>
      <c r="F40" s="3"/>
    </row>
    <row r="41" spans="1:8" x14ac:dyDescent="0.2">
      <c r="A41" s="12"/>
      <c r="F41" s="3"/>
    </row>
    <row r="42" spans="1:8" x14ac:dyDescent="0.2">
      <c r="A42" s="12"/>
      <c r="F42" s="3"/>
    </row>
    <row r="43" spans="1:8" x14ac:dyDescent="0.2">
      <c r="A43" s="12"/>
      <c r="F43" s="3"/>
    </row>
    <row r="44" spans="1:8" x14ac:dyDescent="0.2">
      <c r="A44" s="12"/>
    </row>
    <row r="45" spans="1:8" x14ac:dyDescent="0.2">
      <c r="A45" s="12"/>
    </row>
  </sheetData>
  <mergeCells count="6">
    <mergeCell ref="A15:B15"/>
    <mergeCell ref="A7:B7"/>
    <mergeCell ref="A3:B3"/>
    <mergeCell ref="A11:B11"/>
    <mergeCell ref="A13:B13"/>
    <mergeCell ref="A14:B14"/>
  </mergeCells>
  <phoneticPr fontId="3" type="noConversion"/>
  <printOptions horizontalCentered="1" verticalCentered="1"/>
  <pageMargins left="0.2" right="0.2" top="0.2" bottom="0.2" header="0.2" footer="0.51"/>
  <pageSetup paperSize="9" scale="81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250"/>
  <sheetViews>
    <sheetView showRuler="0" topLeftCell="A12" zoomScale="99" workbookViewId="0">
      <selection activeCell="C34" sqref="C34:C35"/>
    </sheetView>
  </sheetViews>
  <sheetFormatPr baseColWidth="10" defaultRowHeight="13" x14ac:dyDescent="0.15"/>
  <cols>
    <col min="1" max="1" width="23.33203125" style="70" customWidth="1"/>
    <col min="2" max="2" width="3.6640625" style="71" customWidth="1"/>
    <col min="3" max="3" width="10.5" style="72" customWidth="1"/>
    <col min="4" max="4" width="7.83203125" style="72" customWidth="1"/>
    <col min="5" max="5" width="19" style="70" customWidth="1"/>
    <col min="6" max="6" width="10.5" style="70" customWidth="1"/>
    <col min="7" max="7" width="21.83203125" style="73" customWidth="1"/>
    <col min="8" max="16384" width="10.83203125" style="72"/>
  </cols>
  <sheetData>
    <row r="1" spans="1:7" s="69" customFormat="1" ht="16" x14ac:dyDescent="0.2">
      <c r="A1" s="163" t="s">
        <v>196</v>
      </c>
      <c r="B1" s="163"/>
      <c r="C1" s="163"/>
      <c r="D1" s="163"/>
      <c r="E1" s="163"/>
      <c r="F1" s="163"/>
      <c r="G1" s="163"/>
    </row>
    <row r="2" spans="1:7" ht="36.75" customHeight="1" x14ac:dyDescent="0.15"/>
    <row r="3" spans="1:7" s="76" customFormat="1" ht="56" x14ac:dyDescent="0.15">
      <c r="A3" s="74" t="s">
        <v>197</v>
      </c>
      <c r="B3" s="75"/>
      <c r="E3" s="74"/>
      <c r="F3" s="74"/>
      <c r="G3" s="77">
        <f ca="1">TODAY()</f>
        <v>46119</v>
      </c>
    </row>
    <row r="4" spans="1:7" s="78" customFormat="1" ht="24.75" customHeight="1" x14ac:dyDescent="0.25">
      <c r="A4" s="164" t="s">
        <v>313</v>
      </c>
      <c r="B4" s="164"/>
      <c r="C4" s="164"/>
      <c r="D4" s="164"/>
      <c r="E4" s="164"/>
      <c r="F4" s="164"/>
      <c r="G4" s="164"/>
    </row>
    <row r="5" spans="1:7" s="69" customFormat="1" ht="21" customHeight="1" x14ac:dyDescent="0.15">
      <c r="A5" s="79" t="s">
        <v>198</v>
      </c>
      <c r="B5" s="80"/>
      <c r="E5" s="79"/>
      <c r="F5" s="79" t="s">
        <v>309</v>
      </c>
      <c r="G5" s="81" t="s">
        <v>314</v>
      </c>
    </row>
    <row r="6" spans="1:7" s="84" customFormat="1" ht="14.25" customHeight="1" x14ac:dyDescent="0.2">
      <c r="A6" s="82" t="s">
        <v>199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204</v>
      </c>
    </row>
    <row r="8" spans="1:7" x14ac:dyDescent="0.15">
      <c r="D8" s="72" t="s">
        <v>205</v>
      </c>
      <c r="F8" s="70" t="s">
        <v>205</v>
      </c>
    </row>
    <row r="9" spans="1:7" s="88" customFormat="1" x14ac:dyDescent="0.2">
      <c r="A9" s="86" t="s">
        <v>199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2025'!I19)</f>
        <v>2400</v>
      </c>
      <c r="D10" s="90">
        <v>6</v>
      </c>
      <c r="E10" s="70" t="s">
        <v>207</v>
      </c>
      <c r="F10" s="91" t="s">
        <v>208</v>
      </c>
      <c r="G10" s="92">
        <f>SUM(C10/D10*F10)</f>
        <v>400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5692.54</v>
      </c>
      <c r="D12" s="90"/>
      <c r="E12" s="70" t="s">
        <v>210</v>
      </c>
      <c r="F12" s="91" t="s">
        <v>208</v>
      </c>
      <c r="G12" s="92">
        <f>VALUE(Becker!$H$13)</f>
        <v>1504.0674846845691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SUM(C15+C16+C17)</f>
        <v>404.76</v>
      </c>
      <c r="D14" s="90">
        <v>6</v>
      </c>
      <c r="E14" s="70" t="s">
        <v>207</v>
      </c>
      <c r="F14" s="91" t="s">
        <v>208</v>
      </c>
      <c r="G14" s="92">
        <f>SUM(C14/D14*F14)</f>
        <v>67.459999999999994</v>
      </c>
    </row>
    <row r="15" spans="1:7" x14ac:dyDescent="0.15">
      <c r="A15" s="70" t="s">
        <v>212</v>
      </c>
      <c r="C15" s="93">
        <f>VALUE('Zahlungen 2025'!D42)</f>
        <v>99.81</v>
      </c>
      <c r="D15" s="90"/>
      <c r="F15" s="91"/>
      <c r="G15" s="92"/>
    </row>
    <row r="16" spans="1:7" x14ac:dyDescent="0.15">
      <c r="A16" s="70" t="s">
        <v>213</v>
      </c>
      <c r="C16" s="93">
        <f>VALUE('Zahlungen 2025'!I42)</f>
        <v>304.95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2025'!B42)</f>
        <v>526.29999999999995</v>
      </c>
      <c r="D18" s="90">
        <v>6</v>
      </c>
      <c r="E18" s="70" t="s">
        <v>207</v>
      </c>
      <c r="F18" s="91" t="s">
        <v>208</v>
      </c>
      <c r="G18" s="92">
        <f>SUM(C18/D18*F18)</f>
        <v>87.716666666666654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2025'!F42)</f>
        <v>496.8</v>
      </c>
      <c r="D20" s="90">
        <v>10</v>
      </c>
      <c r="E20" s="70" t="s">
        <v>227</v>
      </c>
      <c r="F20" s="91" t="s">
        <v>275</v>
      </c>
      <c r="G20" s="92">
        <f t="shared" ref="G20" si="0">SUM(C20/D20*F20)</f>
        <v>198.72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C23" s="71"/>
      <c r="D23" s="90"/>
      <c r="F23" s="91"/>
      <c r="G23" s="92"/>
    </row>
    <row r="24" spans="1:7" x14ac:dyDescent="0.15">
      <c r="A24" s="79" t="s">
        <v>217</v>
      </c>
      <c r="B24" s="80"/>
      <c r="C24" s="71">
        <f>SUM(C25+C26)</f>
        <v>1787.29</v>
      </c>
      <c r="D24" s="90">
        <v>6</v>
      </c>
      <c r="E24" s="70" t="s">
        <v>218</v>
      </c>
      <c r="F24" s="91" t="s">
        <v>208</v>
      </c>
      <c r="G24" s="92">
        <f>SUM(C24/D24*F24)</f>
        <v>297.88166666666666</v>
      </c>
    </row>
    <row r="25" spans="1:7" x14ac:dyDescent="0.15">
      <c r="A25" s="70" t="s">
        <v>219</v>
      </c>
      <c r="C25" s="71">
        <f>VALUE('Zahlungen 2025'!C24)</f>
        <v>1726.84</v>
      </c>
      <c r="D25" s="90"/>
      <c r="F25" s="91"/>
    </row>
    <row r="26" spans="1:7" x14ac:dyDescent="0.15">
      <c r="A26" s="70" t="s">
        <v>220</v>
      </c>
      <c r="C26" s="71">
        <f>VALUE('Zahlungen 2025'!C23)</f>
        <v>60.45</v>
      </c>
      <c r="D26" s="90"/>
      <c r="F26" s="91"/>
      <c r="G26" s="92"/>
    </row>
    <row r="27" spans="1:7" x14ac:dyDescent="0.15">
      <c r="C27" s="71"/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216</v>
      </c>
      <c r="C29" s="71">
        <f>VALUE('Zahlungen 2025'!H42)</f>
        <v>50</v>
      </c>
      <c r="D29" s="90">
        <v>6</v>
      </c>
      <c r="E29" s="70" t="s">
        <v>207</v>
      </c>
      <c r="F29" s="91" t="s">
        <v>208</v>
      </c>
      <c r="G29" s="92">
        <f>C29/D29</f>
        <v>8.3333333333333339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221</v>
      </c>
      <c r="C31" s="71">
        <f>VALUE('Zahlungen 2025'!E42)</f>
        <v>172.95000000000002</v>
      </c>
      <c r="D31" s="90">
        <v>6</v>
      </c>
      <c r="E31" s="70" t="s">
        <v>207</v>
      </c>
      <c r="F31" s="91" t="s">
        <v>208</v>
      </c>
      <c r="G31" s="92">
        <f>SUM(C31/D31*F31)</f>
        <v>28.825000000000003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222</v>
      </c>
      <c r="C33" s="71">
        <f>VALUE('Zahlungen 2025'!J42)</f>
        <v>0</v>
      </c>
      <c r="D33" s="90">
        <v>6</v>
      </c>
      <c r="E33" s="70" t="s">
        <v>207</v>
      </c>
      <c r="F33" s="91" t="s">
        <v>208</v>
      </c>
      <c r="G33" s="92">
        <f>SUM(C33/D33*F33)</f>
        <v>0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290</v>
      </c>
      <c r="C35" s="71">
        <f>VALUE('Zahlungen 2025'!J19)</f>
        <v>6000</v>
      </c>
      <c r="D35" s="90">
        <v>6</v>
      </c>
      <c r="E35" s="70" t="s">
        <v>207</v>
      </c>
      <c r="F35" s="91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x14ac:dyDescent="0.15">
      <c r="A37" s="79" t="s">
        <v>3</v>
      </c>
      <c r="C37" s="71">
        <f>SUM(C10+C12+C35+C14+C18+C20+C24+C31+C33+C29)</f>
        <v>17530.64</v>
      </c>
      <c r="D37" s="90"/>
      <c r="F37" s="91"/>
      <c r="G37" s="92">
        <f>SUM(G10+G12+G14+G18+G20+G29+G21+G24+G31+G33+G35)</f>
        <v>3593.0041513512356</v>
      </c>
    </row>
    <row r="38" spans="1:7" x14ac:dyDescent="0.15">
      <c r="A38" s="79" t="s">
        <v>199</v>
      </c>
      <c r="B38" s="80"/>
      <c r="C38" s="80"/>
      <c r="D38" s="94"/>
      <c r="E38" s="79"/>
      <c r="F38" s="95"/>
      <c r="G38" s="96"/>
    </row>
    <row r="39" spans="1:7" s="69" customFormat="1" x14ac:dyDescent="0.15">
      <c r="A39" s="70"/>
      <c r="B39" s="71"/>
      <c r="C39" s="72"/>
      <c r="D39" s="90"/>
      <c r="E39" s="70"/>
      <c r="F39" s="91"/>
      <c r="G39" s="92"/>
    </row>
    <row r="40" spans="1:7" x14ac:dyDescent="0.15">
      <c r="A40" s="70" t="s">
        <v>311</v>
      </c>
      <c r="C40" s="71"/>
      <c r="D40" s="90"/>
      <c r="G40" s="93">
        <f>VALUE('Zahlungen 2025'!B19)</f>
        <v>3480</v>
      </c>
    </row>
    <row r="41" spans="1:7" x14ac:dyDescent="0.15">
      <c r="A41" s="86" t="s">
        <v>199</v>
      </c>
      <c r="B41" s="87"/>
      <c r="C41" s="87"/>
      <c r="D41" s="88"/>
      <c r="E41" s="86"/>
      <c r="F41" s="86"/>
      <c r="G41" s="92"/>
    </row>
    <row r="42" spans="1:7" s="88" customFormat="1" ht="15.75" customHeight="1" x14ac:dyDescent="0.15">
      <c r="A42" s="79" t="s">
        <v>223</v>
      </c>
      <c r="B42" s="71"/>
      <c r="C42" s="71"/>
      <c r="D42" s="90"/>
      <c r="E42" s="70" t="s">
        <v>295</v>
      </c>
      <c r="F42" s="70"/>
      <c r="G42" s="97">
        <f>SUM(G40-G37)</f>
        <v>-113.00415135123558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s="88" customFormat="1" ht="13.5" customHeight="1" x14ac:dyDescent="0.15">
      <c r="A44" s="70"/>
      <c r="B44" s="71"/>
      <c r="C44" s="72"/>
      <c r="D44" s="72"/>
      <c r="E44" s="70"/>
      <c r="F44" s="70"/>
      <c r="G44" s="73"/>
    </row>
    <row r="45" spans="1:7" x14ac:dyDescent="0.15">
      <c r="A45" s="141" t="s">
        <v>239</v>
      </c>
      <c r="B45" s="141"/>
      <c r="C45" s="141"/>
      <c r="D45" s="141"/>
      <c r="E45" s="141"/>
      <c r="F45" s="141"/>
      <c r="G45" s="141"/>
    </row>
    <row r="46" spans="1:7" x14ac:dyDescent="0.15">
      <c r="A46" s="142" t="s">
        <v>224</v>
      </c>
      <c r="B46" s="142"/>
      <c r="C46" s="142"/>
      <c r="D46" s="142"/>
      <c r="E46" s="142"/>
      <c r="F46" s="142"/>
      <c r="G46" s="142"/>
    </row>
    <row r="47" spans="1:7" x14ac:dyDescent="0.15">
      <c r="C47" s="71"/>
    </row>
    <row r="48" spans="1:7" x14ac:dyDescent="0.15">
      <c r="C48" s="71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  <row r="223" spans="3:3" x14ac:dyDescent="0.15">
      <c r="C223" s="71"/>
    </row>
    <row r="224" spans="3:3" x14ac:dyDescent="0.15">
      <c r="C224" s="71"/>
    </row>
    <row r="225" spans="3:3" x14ac:dyDescent="0.15">
      <c r="C225" s="71"/>
    </row>
    <row r="226" spans="3:3" x14ac:dyDescent="0.15">
      <c r="C226" s="71"/>
    </row>
    <row r="227" spans="3:3" x14ac:dyDescent="0.15">
      <c r="C227" s="71"/>
    </row>
    <row r="228" spans="3:3" x14ac:dyDescent="0.15">
      <c r="C228" s="71"/>
    </row>
    <row r="229" spans="3:3" x14ac:dyDescent="0.15">
      <c r="C229" s="71"/>
    </row>
    <row r="230" spans="3:3" x14ac:dyDescent="0.15">
      <c r="C230" s="71"/>
    </row>
    <row r="231" spans="3:3" x14ac:dyDescent="0.15">
      <c r="C231" s="71"/>
    </row>
    <row r="232" spans="3:3" x14ac:dyDescent="0.15">
      <c r="C232" s="71"/>
    </row>
    <row r="233" spans="3:3" x14ac:dyDescent="0.15">
      <c r="C233" s="71"/>
    </row>
    <row r="234" spans="3:3" x14ac:dyDescent="0.15">
      <c r="C234" s="71"/>
    </row>
    <row r="235" spans="3:3" x14ac:dyDescent="0.15">
      <c r="C235" s="71"/>
    </row>
    <row r="236" spans="3:3" x14ac:dyDescent="0.15">
      <c r="C236" s="71"/>
    </row>
    <row r="237" spans="3:3" x14ac:dyDescent="0.15">
      <c r="C237" s="71"/>
    </row>
    <row r="238" spans="3:3" x14ac:dyDescent="0.15">
      <c r="C238" s="71"/>
    </row>
    <row r="239" spans="3:3" x14ac:dyDescent="0.15">
      <c r="C239" s="71"/>
    </row>
    <row r="240" spans="3:3" x14ac:dyDescent="0.15">
      <c r="C240" s="71"/>
    </row>
    <row r="241" spans="3:3" x14ac:dyDescent="0.15">
      <c r="C241" s="71"/>
    </row>
    <row r="242" spans="3:3" x14ac:dyDescent="0.15">
      <c r="C242" s="71"/>
    </row>
    <row r="243" spans="3:3" x14ac:dyDescent="0.15">
      <c r="C243" s="71"/>
    </row>
    <row r="244" spans="3:3" x14ac:dyDescent="0.15">
      <c r="C244" s="71"/>
    </row>
    <row r="245" spans="3:3" x14ac:dyDescent="0.15">
      <c r="C245" s="71"/>
    </row>
    <row r="246" spans="3:3" x14ac:dyDescent="0.15">
      <c r="C246" s="71"/>
    </row>
    <row r="247" spans="3:3" x14ac:dyDescent="0.15">
      <c r="C247" s="71"/>
    </row>
    <row r="248" spans="3:3" x14ac:dyDescent="0.15">
      <c r="C248" s="71"/>
    </row>
    <row r="249" spans="3:3" x14ac:dyDescent="0.15">
      <c r="C249" s="71"/>
    </row>
    <row r="250" spans="3:3" x14ac:dyDescent="0.15">
      <c r="C250" s="71"/>
    </row>
  </sheetData>
  <sheetProtection insertColumns="0" insertRows="0"/>
  <mergeCells count="2">
    <mergeCell ref="A1:G1"/>
    <mergeCell ref="A4:G4"/>
  </mergeCells>
  <hyperlinks>
    <hyperlink ref="A46" r:id="rId1" xr:uid="{00000000-0004-0000-0400-000000000000}"/>
  </hyperlinks>
  <printOptions horizontalCentered="1" verticalCentered="1"/>
  <pageMargins left="0.2" right="0.2" top="0.2" bottom="0.2" header="0.2" footer="0.51"/>
  <pageSetup paperSize="9" scale="97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1"/>
  <sheetViews>
    <sheetView showRuler="0" workbookViewId="0">
      <selection activeCell="C34" sqref="C34:C35"/>
    </sheetView>
  </sheetViews>
  <sheetFormatPr baseColWidth="10" defaultRowHeight="16" x14ac:dyDescent="0.2"/>
  <cols>
    <col min="1" max="1" width="17.33203125" customWidth="1"/>
    <col min="2" max="2" width="22.33203125" customWidth="1"/>
    <col min="3" max="3" width="14.6640625" customWidth="1"/>
    <col min="4" max="4" width="15.6640625" customWidth="1"/>
    <col min="5" max="5" width="25.5" customWidth="1"/>
    <col min="6" max="6" width="12.83203125" customWidth="1"/>
  </cols>
  <sheetData>
    <row r="1" spans="1:6" ht="31" customHeight="1" x14ac:dyDescent="0.25">
      <c r="A1" s="120" t="s">
        <v>17</v>
      </c>
      <c r="B1" s="121" t="s">
        <v>312</v>
      </c>
      <c r="C1" s="33"/>
      <c r="D1" s="33"/>
      <c r="E1" s="121" t="s">
        <v>125</v>
      </c>
      <c r="F1" s="33"/>
    </row>
    <row r="2" spans="1:6" s="21" customFormat="1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283</v>
      </c>
    </row>
    <row r="3" spans="1:6" ht="31" customHeight="1" x14ac:dyDescent="0.2">
      <c r="A3" s="33">
        <v>90878776</v>
      </c>
      <c r="B3" s="28" t="s">
        <v>55</v>
      </c>
      <c r="C3" s="28" t="s">
        <v>80</v>
      </c>
      <c r="D3" s="119">
        <v>1.7170000000000001</v>
      </c>
      <c r="E3" s="40">
        <v>111</v>
      </c>
      <c r="F3" s="40">
        <v>123</v>
      </c>
    </row>
    <row r="4" spans="1:6" ht="31" customHeight="1" x14ac:dyDescent="0.2">
      <c r="A4" s="33">
        <v>90878777</v>
      </c>
      <c r="B4" s="28" t="s">
        <v>56</v>
      </c>
      <c r="C4" s="28" t="s">
        <v>94</v>
      </c>
      <c r="D4" s="119">
        <v>0.88200000000000001</v>
      </c>
      <c r="E4" s="40">
        <v>0</v>
      </c>
      <c r="F4" s="40">
        <v>0</v>
      </c>
    </row>
    <row r="5" spans="1:6" ht="31" customHeight="1" x14ac:dyDescent="0.2">
      <c r="A5" s="33">
        <v>90878778</v>
      </c>
      <c r="B5" s="28" t="s">
        <v>59</v>
      </c>
      <c r="C5" s="28" t="s">
        <v>96</v>
      </c>
      <c r="D5" s="119">
        <v>0.86699999999999999</v>
      </c>
      <c r="E5" s="40">
        <v>362</v>
      </c>
      <c r="F5" s="40">
        <v>219</v>
      </c>
    </row>
    <row r="6" spans="1:6" ht="31" customHeight="1" x14ac:dyDescent="0.2">
      <c r="A6" s="33">
        <v>90878779</v>
      </c>
      <c r="B6" s="28" t="s">
        <v>59</v>
      </c>
      <c r="C6" s="28" t="s">
        <v>96</v>
      </c>
      <c r="D6" s="119">
        <v>0.86699999999999999</v>
      </c>
      <c r="E6" s="40">
        <v>5</v>
      </c>
      <c r="F6" s="40">
        <v>81</v>
      </c>
    </row>
    <row r="7" spans="1:6" ht="31" customHeight="1" x14ac:dyDescent="0.2">
      <c r="A7" s="33">
        <v>90878780</v>
      </c>
      <c r="B7" s="28" t="s">
        <v>58</v>
      </c>
      <c r="C7" s="28" t="s">
        <v>80</v>
      </c>
      <c r="D7" s="119">
        <v>2.2890000000000001</v>
      </c>
      <c r="E7" s="40">
        <v>607</v>
      </c>
      <c r="F7" s="40">
        <v>920</v>
      </c>
    </row>
    <row r="8" spans="1:6" ht="31" customHeight="1" x14ac:dyDescent="0.2">
      <c r="A8" s="33">
        <v>90878786</v>
      </c>
      <c r="B8" s="28" t="s">
        <v>58</v>
      </c>
      <c r="C8" s="28" t="s">
        <v>82</v>
      </c>
      <c r="D8" s="119">
        <v>1.7170000000000001</v>
      </c>
      <c r="E8" s="40">
        <v>0</v>
      </c>
      <c r="F8" s="40">
        <v>14</v>
      </c>
    </row>
    <row r="9" spans="1:6" ht="31" customHeight="1" x14ac:dyDescent="0.2">
      <c r="A9" s="33">
        <v>90878787</v>
      </c>
      <c r="B9" s="28" t="s">
        <v>60</v>
      </c>
      <c r="C9" s="28" t="s">
        <v>87</v>
      </c>
      <c r="D9" s="119">
        <v>1.175</v>
      </c>
      <c r="E9" s="40">
        <v>159</v>
      </c>
      <c r="F9" s="40">
        <v>79</v>
      </c>
    </row>
    <row r="10" spans="1:6" ht="31" customHeight="1" x14ac:dyDescent="0.2">
      <c r="A10" s="33">
        <v>90878788</v>
      </c>
      <c r="B10" s="28" t="s">
        <v>57</v>
      </c>
      <c r="C10" s="28" t="s">
        <v>95</v>
      </c>
      <c r="D10" s="119">
        <v>1.782</v>
      </c>
      <c r="E10" s="40">
        <v>0</v>
      </c>
      <c r="F10" s="40">
        <v>0</v>
      </c>
    </row>
    <row r="11" spans="1:6" ht="31" customHeight="1" x14ac:dyDescent="0.2">
      <c r="A11" s="33"/>
      <c r="B11" s="28"/>
      <c r="C11" s="28"/>
      <c r="D11" s="39" t="s">
        <v>35</v>
      </c>
      <c r="E11" s="40"/>
      <c r="F11" s="40"/>
    </row>
    <row r="12" spans="1:6" ht="31" customHeight="1" x14ac:dyDescent="0.2">
      <c r="A12" s="122"/>
      <c r="B12" s="28"/>
      <c r="C12" s="28"/>
      <c r="D12" s="32"/>
      <c r="E12" s="40"/>
      <c r="F12" s="40"/>
    </row>
    <row r="13" spans="1:6" s="21" customFormat="1" ht="31" customHeight="1" x14ac:dyDescent="0.2">
      <c r="A13" s="30" t="s">
        <v>31</v>
      </c>
      <c r="B13" s="30" t="s">
        <v>115</v>
      </c>
      <c r="C13" s="31"/>
      <c r="D13" s="32"/>
      <c r="E13" s="32" t="s">
        <v>28</v>
      </c>
      <c r="F13" s="32" t="s">
        <v>116</v>
      </c>
    </row>
    <row r="14" spans="1:6" ht="31" customHeight="1" x14ac:dyDescent="0.2">
      <c r="A14" s="122" t="s">
        <v>254</v>
      </c>
      <c r="B14" s="28" t="s">
        <v>55</v>
      </c>
      <c r="C14" s="29" t="s">
        <v>144</v>
      </c>
      <c r="D14" s="28"/>
      <c r="E14" s="123">
        <v>225</v>
      </c>
      <c r="F14" s="123">
        <v>259.5</v>
      </c>
    </row>
    <row r="15" spans="1:6" s="21" customFormat="1" ht="31" customHeight="1" x14ac:dyDescent="0.2">
      <c r="A15" s="30" t="s">
        <v>32</v>
      </c>
      <c r="B15" s="30" t="s">
        <v>115</v>
      </c>
      <c r="C15" s="31"/>
      <c r="D15" s="32"/>
      <c r="E15" s="32"/>
      <c r="F15" s="32"/>
    </row>
    <row r="16" spans="1:6" ht="31" customHeight="1" x14ac:dyDescent="0.2">
      <c r="A16" s="122" t="s">
        <v>255</v>
      </c>
      <c r="B16" s="28" t="s">
        <v>55</v>
      </c>
      <c r="C16" s="29" t="s">
        <v>144</v>
      </c>
      <c r="D16" s="28"/>
      <c r="E16" s="124">
        <v>398.5</v>
      </c>
      <c r="F16" s="124">
        <v>464.72</v>
      </c>
    </row>
    <row r="17" spans="1:6" ht="31" customHeight="1" x14ac:dyDescent="0.2">
      <c r="A17" s="122" t="s">
        <v>256</v>
      </c>
      <c r="B17" s="28" t="s">
        <v>117</v>
      </c>
      <c r="C17" s="29" t="s">
        <v>144</v>
      </c>
      <c r="D17" s="28"/>
      <c r="E17" s="124">
        <v>113</v>
      </c>
      <c r="F17" s="124">
        <v>123.25</v>
      </c>
    </row>
    <row r="18" spans="1:6" ht="50" customHeight="1" x14ac:dyDescent="0.2">
      <c r="A18" s="122"/>
      <c r="B18" s="28"/>
      <c r="C18" s="29"/>
      <c r="D18" s="28"/>
      <c r="E18" s="28"/>
      <c r="F18" s="28"/>
    </row>
    <row r="20" spans="1:6" x14ac:dyDescent="0.2">
      <c r="C20" s="17"/>
    </row>
    <row r="21" spans="1:6" x14ac:dyDescent="0.2">
      <c r="C21" s="17"/>
    </row>
  </sheetData>
  <phoneticPr fontId="10" type="noConversion"/>
  <printOptions horizontalCentered="1" verticalCentered="1"/>
  <pageMargins left="0.75000000000000011" right="0.75000000000000011" top="1" bottom="1" header="0.5" footer="0.5"/>
  <pageSetup paperSize="9" scale="74" orientation="portrait" horizontalDpi="0" verticalDpi="0"/>
  <headerFooter>
    <oddHeader>&amp;A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11EA8-AA17-7F46-A6D1-1D3DA6DEDE04}">
  <sheetPr>
    <pageSetUpPr fitToPage="1"/>
  </sheetPr>
  <dimension ref="A1:H38"/>
  <sheetViews>
    <sheetView showRuler="0" topLeftCell="A7" workbookViewId="0">
      <selection activeCell="C34" sqref="C34:C35"/>
    </sheetView>
  </sheetViews>
  <sheetFormatPr baseColWidth="10" defaultColWidth="11" defaultRowHeight="16" x14ac:dyDescent="0.2"/>
  <cols>
    <col min="1" max="1" width="17.83203125" customWidth="1"/>
    <col min="2" max="2" width="14" customWidth="1"/>
    <col min="4" max="4" width="18" customWidth="1"/>
    <col min="5" max="5" width="13.5" bestFit="1" customWidth="1"/>
    <col min="6" max="6" width="15.83203125" bestFit="1" customWidth="1"/>
    <col min="7" max="7" width="11.1640625" customWidth="1"/>
    <col min="8" max="8" width="11.83203125" customWidth="1"/>
  </cols>
  <sheetData>
    <row r="1" spans="1:8" x14ac:dyDescent="0.2">
      <c r="A1" s="6" t="s">
        <v>8</v>
      </c>
      <c r="B1" s="6"/>
      <c r="C1" s="6" t="s">
        <v>18</v>
      </c>
      <c r="D1" s="6" t="s">
        <v>291</v>
      </c>
      <c r="E1" s="112" t="s">
        <v>315</v>
      </c>
    </row>
    <row r="2" spans="1:8" x14ac:dyDescent="0.2">
      <c r="A2" s="6"/>
      <c r="B2" s="6"/>
      <c r="C2" s="6"/>
      <c r="D2" s="6"/>
      <c r="E2" s="2"/>
    </row>
    <row r="3" spans="1:8" x14ac:dyDescent="0.2">
      <c r="A3" s="162" t="s">
        <v>5</v>
      </c>
      <c r="B3" s="162"/>
      <c r="C3" s="8" t="s">
        <v>6</v>
      </c>
      <c r="D3" s="8" t="s">
        <v>10</v>
      </c>
      <c r="E3" s="9" t="s">
        <v>11</v>
      </c>
      <c r="F3" s="8"/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SUM(Hauptabrechnung!C47)</f>
        <v>948.67439716817694</v>
      </c>
      <c r="D4" s="15">
        <v>414.52</v>
      </c>
      <c r="E4" s="2">
        <f>SUM(C4/D4)</f>
        <v>2.2886094691888861</v>
      </c>
      <c r="F4" s="3">
        <v>58.77</v>
      </c>
      <c r="G4" t="s">
        <v>15</v>
      </c>
      <c r="H4" s="2">
        <f>SUM(E4*F4)</f>
        <v>134.50157850423085</v>
      </c>
    </row>
    <row r="5" spans="1:8" x14ac:dyDescent="0.2">
      <c r="A5" t="s">
        <v>12</v>
      </c>
      <c r="C5" s="2">
        <f>SUM(Hauptabrechnung!C48)</f>
        <v>2213.5735933924129</v>
      </c>
      <c r="D5" s="36">
        <f>VALUE(Hauptabrechnung!D48)</f>
        <v>17664.22</v>
      </c>
      <c r="E5" s="2">
        <f>SUM(C5/D5)</f>
        <v>0.1253139732970045</v>
      </c>
      <c r="F5" s="36">
        <f>VALUE(H26)</f>
        <v>3017.9050000000002</v>
      </c>
      <c r="G5" t="s">
        <v>67</v>
      </c>
      <c r="H5" s="2">
        <f>SUM(E5*F5)</f>
        <v>378.18566658289637</v>
      </c>
    </row>
    <row r="6" spans="1:8" x14ac:dyDescent="0.2">
      <c r="C6" s="2"/>
      <c r="D6" s="15"/>
      <c r="E6" s="2"/>
      <c r="F6" s="3"/>
      <c r="H6" s="2"/>
    </row>
    <row r="7" spans="1:8" x14ac:dyDescent="0.2">
      <c r="A7" s="162" t="s">
        <v>1</v>
      </c>
      <c r="B7" s="162"/>
      <c r="C7" s="2"/>
      <c r="D7" s="15"/>
      <c r="E7" s="2"/>
      <c r="F7" s="3"/>
      <c r="H7" s="2"/>
    </row>
    <row r="8" spans="1:8" x14ac:dyDescent="0.2">
      <c r="A8" t="s">
        <v>9</v>
      </c>
      <c r="C8" s="2">
        <f>SUM(Hauptabrechnung!F33*30%)</f>
        <v>366.70126919893301</v>
      </c>
      <c r="D8" s="15">
        <v>414.52</v>
      </c>
      <c r="E8" s="2">
        <f>SUM(C8/D8)</f>
        <v>0.88464071504133224</v>
      </c>
      <c r="F8" s="3">
        <v>58.77</v>
      </c>
      <c r="G8" t="s">
        <v>15</v>
      </c>
      <c r="H8" s="2">
        <f>SUM(E8*F8)</f>
        <v>51.990334822979101</v>
      </c>
    </row>
    <row r="9" spans="1:8" x14ac:dyDescent="0.2">
      <c r="A9" t="s">
        <v>12</v>
      </c>
      <c r="C9" s="2">
        <f>SUM(Hauptabrechnung!F33*70%)</f>
        <v>855.63629479751035</v>
      </c>
      <c r="D9" s="15">
        <f>VALUE(Hauptabrechnung!D52)</f>
        <v>75.512</v>
      </c>
      <c r="E9" s="2">
        <f>SUM(C9/D9)</f>
        <v>11.331130082602902</v>
      </c>
      <c r="F9" s="3">
        <f>VALUE(H30)</f>
        <v>2.0769999999999982</v>
      </c>
      <c r="G9" t="s">
        <v>68</v>
      </c>
      <c r="H9" s="14">
        <f>SUM(E9*F9)</f>
        <v>23.534757181566206</v>
      </c>
    </row>
    <row r="10" spans="1:8" x14ac:dyDescent="0.2">
      <c r="C10" s="2"/>
      <c r="D10" s="15"/>
      <c r="E10" s="2"/>
      <c r="F10" s="3"/>
      <c r="H10" s="2"/>
    </row>
    <row r="11" spans="1:8" x14ac:dyDescent="0.2">
      <c r="A11" s="162" t="s">
        <v>4</v>
      </c>
      <c r="B11" s="162"/>
      <c r="C11" s="2">
        <f>SUM(Hauptabrechnung!C54)</f>
        <v>1307.9544454429661</v>
      </c>
      <c r="D11" s="15">
        <f>VALUE(Hauptabrechnung!B15)</f>
        <v>193.77500000000003</v>
      </c>
      <c r="E11" s="2">
        <f>SUM(C11/D11)</f>
        <v>6.7498616717479853</v>
      </c>
      <c r="F11" s="3">
        <f>SUM(H35)</f>
        <v>24.725999999999999</v>
      </c>
      <c r="G11" t="s">
        <v>68</v>
      </c>
      <c r="H11" s="2">
        <f>SUM(E11*F11)</f>
        <v>166.89707969564068</v>
      </c>
    </row>
    <row r="12" spans="1:8" x14ac:dyDescent="0.2">
      <c r="A12" t="s">
        <v>139</v>
      </c>
    </row>
    <row r="13" spans="1:8" x14ac:dyDescent="0.2">
      <c r="A13" s="162" t="s">
        <v>3</v>
      </c>
      <c r="B13" s="162"/>
      <c r="C13" s="2">
        <f>SUM(C4:C11)</f>
        <v>5692.5399999999991</v>
      </c>
      <c r="H13" s="2">
        <f>SUM(H4+H5+H8+H9+H11)</f>
        <v>755.10941678731319</v>
      </c>
    </row>
    <row r="14" spans="1:8" x14ac:dyDescent="0.2">
      <c r="A14" s="162" t="s">
        <v>122</v>
      </c>
      <c r="B14" s="162"/>
      <c r="H14" s="2">
        <v>0</v>
      </c>
    </row>
    <row r="15" spans="1:8" x14ac:dyDescent="0.2">
      <c r="A15" s="162" t="s">
        <v>24</v>
      </c>
      <c r="B15" s="162"/>
      <c r="H15" s="14">
        <f>SUM(H13-H14)</f>
        <v>755.10941678731319</v>
      </c>
    </row>
    <row r="16" spans="1:8" x14ac:dyDescent="0.2">
      <c r="A16" s="8"/>
      <c r="B16" s="8"/>
      <c r="H16" s="2"/>
    </row>
    <row r="17" spans="1:8" x14ac:dyDescent="0.2">
      <c r="A17" s="12"/>
      <c r="C17" s="10"/>
      <c r="G17" s="43"/>
      <c r="H17" s="36"/>
    </row>
    <row r="18" spans="1:8" s="21" customFormat="1" x14ac:dyDescent="0.2">
      <c r="A18" s="50" t="s">
        <v>25</v>
      </c>
      <c r="B18" s="21" t="s">
        <v>144</v>
      </c>
      <c r="C18" s="51" t="s">
        <v>27</v>
      </c>
      <c r="D18" s="51" t="s">
        <v>54</v>
      </c>
      <c r="E18" s="51" t="s">
        <v>114</v>
      </c>
      <c r="F18" s="51"/>
      <c r="G18" s="51" t="s">
        <v>29</v>
      </c>
      <c r="H18" s="51" t="s">
        <v>30</v>
      </c>
    </row>
    <row r="19" spans="1:8" x14ac:dyDescent="0.2">
      <c r="A19">
        <v>90878790</v>
      </c>
      <c r="B19" t="s">
        <v>61</v>
      </c>
      <c r="C19" s="17"/>
      <c r="D19" t="s">
        <v>85</v>
      </c>
      <c r="E19" s="64">
        <v>0.58799999999999997</v>
      </c>
      <c r="F19" s="36"/>
      <c r="G19" s="45">
        <f>VALUE('Ablesung Drost'!F3)</f>
        <v>0</v>
      </c>
      <c r="H19" s="36">
        <f t="shared" ref="H19:H25" si="0">SUM(G19*E19)</f>
        <v>0</v>
      </c>
    </row>
    <row r="20" spans="1:8" x14ac:dyDescent="0.2">
      <c r="A20">
        <v>90878791</v>
      </c>
      <c r="B20" t="s">
        <v>64</v>
      </c>
      <c r="C20" s="17"/>
      <c r="D20" t="s">
        <v>86</v>
      </c>
      <c r="E20" s="64">
        <v>1.764</v>
      </c>
      <c r="F20" s="36"/>
      <c r="G20" s="45">
        <f>VALUE('Ablesung Drost'!F4)</f>
        <v>995</v>
      </c>
      <c r="H20" s="36">
        <f t="shared" si="0"/>
        <v>1755.18</v>
      </c>
    </row>
    <row r="21" spans="1:8" x14ac:dyDescent="0.2">
      <c r="A21">
        <v>90878792</v>
      </c>
      <c r="B21" t="s">
        <v>65</v>
      </c>
      <c r="C21" s="17"/>
      <c r="D21" t="s">
        <v>87</v>
      </c>
      <c r="E21" s="64">
        <v>1.175</v>
      </c>
      <c r="F21" s="36"/>
      <c r="G21" s="45">
        <f>VALUE('Ablesung Drost'!F5)</f>
        <v>627</v>
      </c>
      <c r="H21" s="36">
        <f t="shared" si="0"/>
        <v>736.72500000000002</v>
      </c>
    </row>
    <row r="22" spans="1:8" x14ac:dyDescent="0.2">
      <c r="A22">
        <v>90878793</v>
      </c>
      <c r="B22" t="s">
        <v>66</v>
      </c>
      <c r="C22" s="17"/>
      <c r="D22" t="s">
        <v>87</v>
      </c>
      <c r="E22" s="64">
        <v>1.175</v>
      </c>
      <c r="F22" s="36"/>
      <c r="G22" s="45">
        <f>VALUE('Ablesung Drost'!F6)</f>
        <v>236</v>
      </c>
      <c r="H22" s="36">
        <f t="shared" si="0"/>
        <v>277.3</v>
      </c>
    </row>
    <row r="23" spans="1:8" x14ac:dyDescent="0.2">
      <c r="A23">
        <v>90878794</v>
      </c>
      <c r="B23" t="s">
        <v>56</v>
      </c>
      <c r="C23" s="17"/>
      <c r="D23" t="s">
        <v>85</v>
      </c>
      <c r="E23" s="64">
        <v>0.58799999999999997</v>
      </c>
      <c r="F23" s="36"/>
      <c r="G23" s="45">
        <f>VALUE('Ablesung Drost'!F7)</f>
        <v>0</v>
      </c>
      <c r="H23" s="36">
        <f t="shared" si="0"/>
        <v>0</v>
      </c>
    </row>
    <row r="24" spans="1:8" x14ac:dyDescent="0.2">
      <c r="A24">
        <v>90878795</v>
      </c>
      <c r="B24" t="s">
        <v>55</v>
      </c>
      <c r="C24" s="17"/>
      <c r="D24" t="s">
        <v>84</v>
      </c>
      <c r="E24" s="64">
        <v>1.23</v>
      </c>
      <c r="F24" s="36"/>
      <c r="G24" s="45">
        <f>VALUE('Ablesung Drost'!F8)</f>
        <v>201</v>
      </c>
      <c r="H24" s="36">
        <f t="shared" si="0"/>
        <v>247.23</v>
      </c>
    </row>
    <row r="25" spans="1:8" x14ac:dyDescent="0.2">
      <c r="A25">
        <v>90878796</v>
      </c>
      <c r="B25" t="s">
        <v>57</v>
      </c>
      <c r="C25" s="17"/>
      <c r="D25" t="s">
        <v>88</v>
      </c>
      <c r="E25" s="64">
        <v>1.47</v>
      </c>
      <c r="F25" s="36"/>
      <c r="G25" s="45">
        <f>VALUE('Ablesung Drost'!F9)</f>
        <v>1</v>
      </c>
      <c r="H25" s="36">
        <f t="shared" si="0"/>
        <v>1.47</v>
      </c>
    </row>
    <row r="26" spans="1:8" x14ac:dyDescent="0.2">
      <c r="C26" s="10"/>
      <c r="E26" s="41"/>
      <c r="G26" s="43" t="s">
        <v>35</v>
      </c>
      <c r="H26" s="36">
        <f>SUM(H19:H25)</f>
        <v>3017.9050000000002</v>
      </c>
    </row>
    <row r="27" spans="1:8" x14ac:dyDescent="0.2">
      <c r="A27" s="12"/>
      <c r="C27" s="10"/>
      <c r="D27" s="116"/>
      <c r="F27" s="3"/>
    </row>
    <row r="28" spans="1:8" s="21" customFormat="1" x14ac:dyDescent="0.2">
      <c r="A28" s="50" t="s">
        <v>31</v>
      </c>
      <c r="C28" s="55" t="s">
        <v>27</v>
      </c>
      <c r="D28" s="51" t="s">
        <v>131</v>
      </c>
      <c r="E28" s="51" t="s">
        <v>114</v>
      </c>
      <c r="F28" s="51" t="s">
        <v>28</v>
      </c>
      <c r="G28" s="56" t="s">
        <v>29</v>
      </c>
      <c r="H28" s="51" t="s">
        <v>30</v>
      </c>
    </row>
    <row r="29" spans="1:8" x14ac:dyDescent="0.2">
      <c r="A29" s="12" t="s">
        <v>36</v>
      </c>
      <c r="B29" t="s">
        <v>55</v>
      </c>
      <c r="C29" s="17"/>
      <c r="D29" t="s">
        <v>133</v>
      </c>
      <c r="E29">
        <v>1</v>
      </c>
      <c r="F29" s="150">
        <f>VALUE('Ablesung Drost'!E12)</f>
        <v>31.9</v>
      </c>
      <c r="G29" s="150">
        <f>VALUE('Ablesung Drost'!F12)</f>
        <v>33.976999999999997</v>
      </c>
      <c r="H29" s="3">
        <f>SUM(G29-F29)</f>
        <v>2.0769999999999982</v>
      </c>
    </row>
    <row r="30" spans="1:8" x14ac:dyDescent="0.2">
      <c r="A30" s="12"/>
      <c r="C30" s="10"/>
      <c r="F30" s="41"/>
      <c r="G30" s="43" t="s">
        <v>35</v>
      </c>
      <c r="H30" s="3">
        <f>SUM(H29)</f>
        <v>2.0769999999999982</v>
      </c>
    </row>
    <row r="31" spans="1:8" x14ac:dyDescent="0.2">
      <c r="A31" s="12"/>
      <c r="C31" s="10"/>
      <c r="F31" s="41"/>
      <c r="G31" s="41"/>
      <c r="H31" s="41"/>
    </row>
    <row r="32" spans="1:8" s="21" customFormat="1" x14ac:dyDescent="0.2">
      <c r="A32" s="50" t="s">
        <v>32</v>
      </c>
      <c r="C32" s="55" t="s">
        <v>27</v>
      </c>
      <c r="D32" s="51" t="s">
        <v>131</v>
      </c>
      <c r="E32" s="51" t="s">
        <v>114</v>
      </c>
      <c r="F32" s="57" t="s">
        <v>28</v>
      </c>
      <c r="G32" s="57" t="s">
        <v>29</v>
      </c>
      <c r="H32" s="57" t="s">
        <v>30</v>
      </c>
    </row>
    <row r="33" spans="1:8" x14ac:dyDescent="0.2">
      <c r="A33" s="12" t="s">
        <v>37</v>
      </c>
      <c r="B33" t="s">
        <v>55</v>
      </c>
      <c r="C33" s="17"/>
      <c r="D33" t="s">
        <v>133</v>
      </c>
      <c r="E33">
        <v>1</v>
      </c>
      <c r="F33" s="150">
        <f>VALUE('Ablesung Drost'!E14)</f>
        <v>106.2</v>
      </c>
      <c r="G33" s="150">
        <f>VALUE('Ablesung Drost'!F14)</f>
        <v>124.322</v>
      </c>
      <c r="H33" s="3">
        <f>SUM(G33-F33)</f>
        <v>18.122</v>
      </c>
    </row>
    <row r="34" spans="1:8" x14ac:dyDescent="0.2">
      <c r="A34" s="12" t="s">
        <v>38</v>
      </c>
      <c r="B34" t="s">
        <v>117</v>
      </c>
      <c r="C34" s="17"/>
      <c r="D34" t="s">
        <v>133</v>
      </c>
      <c r="E34">
        <v>1</v>
      </c>
      <c r="F34" s="150">
        <f>VALUE('Ablesung Drost'!E15)</f>
        <v>10.4</v>
      </c>
      <c r="G34" s="150">
        <f>VALUE('Ablesung Drost'!F15)</f>
        <v>17.004000000000001</v>
      </c>
      <c r="H34" s="3">
        <f>SUM(G34-F34)</f>
        <v>6.604000000000001</v>
      </c>
    </row>
    <row r="35" spans="1:8" x14ac:dyDescent="0.2">
      <c r="A35" s="12"/>
      <c r="C35" s="10"/>
      <c r="F35" s="41"/>
      <c r="G35" s="43" t="s">
        <v>35</v>
      </c>
      <c r="H35" s="3">
        <f>SUM(H33+H34)</f>
        <v>24.725999999999999</v>
      </c>
    </row>
    <row r="36" spans="1:8" x14ac:dyDescent="0.2">
      <c r="A36" s="12"/>
      <c r="C36" s="10"/>
      <c r="F36" s="3"/>
    </row>
    <row r="37" spans="1:8" x14ac:dyDescent="0.2">
      <c r="A37" s="12"/>
      <c r="C37" s="10"/>
      <c r="F37" s="3"/>
    </row>
    <row r="38" spans="1:8" x14ac:dyDescent="0.2">
      <c r="A38" s="12"/>
      <c r="C38" s="10"/>
      <c r="F38" s="3"/>
    </row>
  </sheetData>
  <sheetProtection selectLockedCells="1"/>
  <mergeCells count="6">
    <mergeCell ref="A15:B15"/>
    <mergeCell ref="A3:B3"/>
    <mergeCell ref="A7:B7"/>
    <mergeCell ref="A11:B11"/>
    <mergeCell ref="A13:B13"/>
    <mergeCell ref="A14:B14"/>
  </mergeCells>
  <printOptions horizontalCentered="1" verticalCentered="1"/>
  <pageMargins left="0.2" right="0.2" top="0.2" bottom="0.2" header="0.2" footer="0.51"/>
  <pageSetup paperSize="9" scale="83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91FC4-EF9A-0447-85CF-73330AE736EB}">
  <sheetPr>
    <pageSetUpPr fitToPage="1"/>
  </sheetPr>
  <dimension ref="A1:G221"/>
  <sheetViews>
    <sheetView showRuler="0" topLeftCell="A18" workbookViewId="0">
      <selection activeCell="C35" sqref="C35"/>
    </sheetView>
  </sheetViews>
  <sheetFormatPr baseColWidth="10" defaultRowHeight="13" x14ac:dyDescent="0.15"/>
  <cols>
    <col min="1" max="1" width="26.33203125" style="70" customWidth="1"/>
    <col min="2" max="2" width="10" style="71" customWidth="1"/>
    <col min="3" max="3" width="12.6640625" style="72" customWidth="1"/>
    <col min="4" max="4" width="9" style="72" customWidth="1"/>
    <col min="5" max="5" width="17.83203125" style="70" customWidth="1"/>
    <col min="6" max="6" width="8" style="70" customWidth="1"/>
    <col min="7" max="7" width="19.83203125" style="71" customWidth="1"/>
    <col min="8" max="16384" width="10.83203125" style="72"/>
  </cols>
  <sheetData>
    <row r="1" spans="1:7" s="69" customFormat="1" ht="16" x14ac:dyDescent="0.2">
      <c r="A1" s="163" t="s">
        <v>196</v>
      </c>
      <c r="B1" s="163"/>
      <c r="C1" s="163"/>
      <c r="D1" s="163"/>
      <c r="E1" s="163"/>
      <c r="F1" s="163"/>
      <c r="G1" s="163"/>
    </row>
    <row r="2" spans="1:7" ht="36.75" customHeight="1" x14ac:dyDescent="0.15"/>
    <row r="3" spans="1:7" s="76" customFormat="1" ht="42" x14ac:dyDescent="0.15">
      <c r="A3" s="74" t="s">
        <v>292</v>
      </c>
      <c r="B3" s="75"/>
      <c r="E3" s="74"/>
      <c r="F3" s="74"/>
      <c r="G3" s="77">
        <f ca="1">TODAY()</f>
        <v>46119</v>
      </c>
    </row>
    <row r="4" spans="1:7" s="78" customFormat="1" ht="24.75" customHeight="1" x14ac:dyDescent="0.25">
      <c r="A4" s="164" t="s">
        <v>313</v>
      </c>
      <c r="B4" s="164"/>
      <c r="C4" s="164"/>
      <c r="D4" s="164"/>
      <c r="E4" s="164"/>
      <c r="F4" s="164"/>
      <c r="G4" s="164"/>
    </row>
    <row r="5" spans="1:7" s="69" customFormat="1" ht="21" customHeight="1" x14ac:dyDescent="0.15">
      <c r="A5" s="79" t="s">
        <v>225</v>
      </c>
      <c r="B5" s="80"/>
      <c r="E5" s="140" t="s">
        <v>316</v>
      </c>
      <c r="F5" s="79"/>
      <c r="G5" s="81" t="s">
        <v>314</v>
      </c>
    </row>
    <row r="6" spans="1:7" s="84" customFormat="1" ht="14.25" customHeight="1" x14ac:dyDescent="0.2">
      <c r="A6" s="82" t="s">
        <v>138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G7" s="73" t="s">
        <v>204</v>
      </c>
    </row>
    <row r="8" spans="1:7" x14ac:dyDescent="0.15">
      <c r="D8" s="72" t="s">
        <v>205</v>
      </c>
      <c r="G8" s="73"/>
    </row>
    <row r="9" spans="1:7" s="88" customFormat="1" x14ac:dyDescent="0.2">
      <c r="A9" s="86" t="s">
        <v>138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2025'!I19)</f>
        <v>2400</v>
      </c>
      <c r="D10" s="90">
        <v>6</v>
      </c>
      <c r="E10" s="70" t="s">
        <v>207</v>
      </c>
      <c r="F10" s="91" t="s">
        <v>208</v>
      </c>
      <c r="G10" s="92">
        <f>SUM(C10/D10*F10)</f>
        <v>400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5692.54</v>
      </c>
      <c r="D12" s="90">
        <v>1</v>
      </c>
      <c r="E12" s="91"/>
      <c r="F12" s="91" t="s">
        <v>208</v>
      </c>
      <c r="G12" s="92">
        <f>VALUE(Drost!H13)</f>
        <v>755.10941678731319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SUM(C15+C16)</f>
        <v>404.76</v>
      </c>
      <c r="D14" s="90">
        <v>6</v>
      </c>
      <c r="E14" s="91"/>
      <c r="F14" s="91" t="s">
        <v>208</v>
      </c>
      <c r="G14" s="92">
        <f>SUM(C14/D14*F14)</f>
        <v>67.459999999999994</v>
      </c>
    </row>
    <row r="15" spans="1:7" x14ac:dyDescent="0.15">
      <c r="A15" s="70" t="s">
        <v>212</v>
      </c>
      <c r="C15" s="93">
        <f>VALUE('Zahlungen 2025'!D42)</f>
        <v>99.81</v>
      </c>
      <c r="D15" s="90"/>
      <c r="E15" s="91"/>
      <c r="F15" s="91"/>
      <c r="G15" s="92"/>
    </row>
    <row r="16" spans="1:7" x14ac:dyDescent="0.15">
      <c r="A16" s="70" t="s">
        <v>226</v>
      </c>
      <c r="C16" s="93">
        <f>VALUE('Zahlungen 2025'!I42)</f>
        <v>304.95</v>
      </c>
      <c r="D16" s="90"/>
      <c r="E16" s="91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2025'!B42)</f>
        <v>526.29999999999995</v>
      </c>
      <c r="D18" s="90">
        <v>6</v>
      </c>
      <c r="E18" s="70" t="s">
        <v>207</v>
      </c>
      <c r="F18" s="91" t="s">
        <v>208</v>
      </c>
      <c r="G18" s="92">
        <f>SUM(C18/D18*F18)</f>
        <v>87.716666666666654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2025'!F42)</f>
        <v>496.8</v>
      </c>
      <c r="D20" s="90">
        <v>10</v>
      </c>
      <c r="E20" s="70" t="s">
        <v>227</v>
      </c>
      <c r="F20" s="91" t="s">
        <v>208</v>
      </c>
      <c r="G20" s="92">
        <f>SUM(C20/D20*F20)</f>
        <v>49.68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A23" s="79" t="s">
        <v>217</v>
      </c>
      <c r="B23" s="80"/>
      <c r="C23" s="71">
        <f>SUM(C24+C25)</f>
        <v>1787.29</v>
      </c>
      <c r="D23" s="90">
        <v>6</v>
      </c>
      <c r="E23" s="70" t="s">
        <v>218</v>
      </c>
      <c r="F23" s="91" t="s">
        <v>208</v>
      </c>
      <c r="G23" s="92">
        <f>SUM(C23/D23*F23)</f>
        <v>297.88166666666666</v>
      </c>
    </row>
    <row r="24" spans="1:7" x14ac:dyDescent="0.15">
      <c r="A24" s="70" t="s">
        <v>219</v>
      </c>
      <c r="C24" s="71">
        <f>VALUE('Zahlungen 2025'!C24)</f>
        <v>1726.84</v>
      </c>
      <c r="D24" s="90"/>
      <c r="F24" s="91"/>
      <c r="G24" s="92"/>
    </row>
    <row r="25" spans="1:7" x14ac:dyDescent="0.15">
      <c r="A25" s="70" t="s">
        <v>220</v>
      </c>
      <c r="C25" s="71">
        <f>VALUE('Zahlungen 2025'!C23)</f>
        <v>60.45</v>
      </c>
      <c r="D25" s="90"/>
      <c r="F25" s="91"/>
      <c r="G25" s="92"/>
    </row>
    <row r="26" spans="1:7" x14ac:dyDescent="0.15">
      <c r="C26" s="71"/>
      <c r="D26" s="90"/>
      <c r="F26" s="91"/>
      <c r="G26" s="92"/>
    </row>
    <row r="27" spans="1:7" x14ac:dyDescent="0.15">
      <c r="A27" s="70" t="s">
        <v>216</v>
      </c>
      <c r="C27" s="71">
        <f>VALUE('Zahlungen 2025'!H42)</f>
        <v>50</v>
      </c>
      <c r="D27" s="90">
        <v>6</v>
      </c>
      <c r="E27" s="70" t="s">
        <v>207</v>
      </c>
      <c r="F27" s="91" t="s">
        <v>208</v>
      </c>
      <c r="G27" s="92">
        <f>C27/D27</f>
        <v>8.3333333333333339</v>
      </c>
    </row>
    <row r="28" spans="1:7" x14ac:dyDescent="0.15">
      <c r="C28" s="71"/>
      <c r="D28" s="90"/>
      <c r="F28" s="91"/>
      <c r="G28" s="92"/>
    </row>
    <row r="29" spans="1:7" x14ac:dyDescent="0.15">
      <c r="C29" s="71"/>
      <c r="D29" s="90"/>
      <c r="F29" s="91"/>
      <c r="G29" s="92"/>
    </row>
    <row r="30" spans="1:7" x14ac:dyDescent="0.15">
      <c r="A30" s="70" t="s">
        <v>221</v>
      </c>
      <c r="C30" s="71">
        <f>VALUE('Zahlungen 2025'!E42)</f>
        <v>172.95000000000002</v>
      </c>
      <c r="D30" s="90">
        <v>6</v>
      </c>
      <c r="E30" s="70" t="s">
        <v>207</v>
      </c>
      <c r="F30" s="91" t="s">
        <v>208</v>
      </c>
      <c r="G30" s="92">
        <f>SUM(C30/D30*F30)</f>
        <v>28.825000000000003</v>
      </c>
    </row>
    <row r="31" spans="1:7" x14ac:dyDescent="0.15">
      <c r="C31" s="71"/>
      <c r="D31" s="90"/>
      <c r="F31" s="91"/>
      <c r="G31" s="92"/>
    </row>
    <row r="32" spans="1:7" x14ac:dyDescent="0.15">
      <c r="C32" s="71"/>
      <c r="D32" s="90"/>
      <c r="F32" s="91"/>
      <c r="G32" s="92"/>
    </row>
    <row r="33" spans="1:7" x14ac:dyDescent="0.15">
      <c r="A33" s="70" t="s">
        <v>222</v>
      </c>
      <c r="C33" s="71">
        <f>VALUE('Zahlungen 2025'!J42)</f>
        <v>0</v>
      </c>
      <c r="D33" s="90">
        <v>6</v>
      </c>
      <c r="E33" s="70" t="s">
        <v>207</v>
      </c>
      <c r="F33" s="91" t="s">
        <v>208</v>
      </c>
      <c r="G33" s="92">
        <f>SUM(C33/D33*F33)</f>
        <v>0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302</v>
      </c>
      <c r="C35" s="71">
        <f>VALUE('Zahlungen 2025'!J19)</f>
        <v>6000</v>
      </c>
      <c r="D35" s="90">
        <v>6</v>
      </c>
      <c r="E35" s="70" t="s">
        <v>207</v>
      </c>
      <c r="F35" s="91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s="69" customFormat="1" x14ac:dyDescent="0.15">
      <c r="A37" s="79" t="s">
        <v>3</v>
      </c>
      <c r="B37" s="71"/>
      <c r="C37" s="71">
        <f>SUM(C10+C12+C14+C18+C20+C23+C27+C30+C33+C35)</f>
        <v>17530.64</v>
      </c>
      <c r="D37" s="90"/>
      <c r="E37" s="70"/>
      <c r="F37" s="91"/>
      <c r="G37" s="92">
        <f>SUM(G10:G35)</f>
        <v>2695.00608345398</v>
      </c>
    </row>
    <row r="38" spans="1:7" x14ac:dyDescent="0.15">
      <c r="A38" s="79" t="s">
        <v>138</v>
      </c>
      <c r="B38" s="80"/>
      <c r="C38" s="80"/>
      <c r="D38" s="94"/>
      <c r="E38" s="79"/>
      <c r="F38" s="95"/>
      <c r="G38" s="96"/>
    </row>
    <row r="39" spans="1:7" x14ac:dyDescent="0.15">
      <c r="D39" s="90"/>
      <c r="F39" s="91"/>
      <c r="G39" s="92"/>
    </row>
    <row r="40" spans="1:7" x14ac:dyDescent="0.15">
      <c r="A40" s="70" t="s">
        <v>311</v>
      </c>
      <c r="C40" s="71"/>
      <c r="D40" s="90"/>
      <c r="G40" s="93">
        <f>VALUE('Zahlungen 2025'!C19)</f>
        <v>2660</v>
      </c>
    </row>
    <row r="41" spans="1:7" x14ac:dyDescent="0.15">
      <c r="A41" s="86" t="s">
        <v>138</v>
      </c>
      <c r="B41" s="87"/>
      <c r="C41" s="87"/>
      <c r="D41" s="88"/>
      <c r="E41" s="86"/>
      <c r="F41" s="86"/>
      <c r="G41" s="92"/>
    </row>
    <row r="42" spans="1:7" x14ac:dyDescent="0.15">
      <c r="A42" s="79" t="s">
        <v>223</v>
      </c>
      <c r="C42" s="71"/>
      <c r="D42" s="90"/>
      <c r="E42" s="70" t="s">
        <v>297</v>
      </c>
      <c r="G42" s="97">
        <f>SUM(G40-G37)</f>
        <v>-35.006083453979954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x14ac:dyDescent="0.15">
      <c r="G44" s="73"/>
    </row>
    <row r="45" spans="1:7" x14ac:dyDescent="0.15">
      <c r="A45" s="165" t="s">
        <v>239</v>
      </c>
      <c r="B45" s="165"/>
      <c r="C45" s="165"/>
      <c r="D45" s="165"/>
      <c r="E45" s="165"/>
      <c r="F45" s="165"/>
      <c r="G45" s="165"/>
    </row>
    <row r="46" spans="1:7" x14ac:dyDescent="0.15">
      <c r="A46" s="166" t="s">
        <v>224</v>
      </c>
      <c r="B46" s="166"/>
      <c r="C46" s="166"/>
      <c r="D46" s="166"/>
      <c r="E46" s="166"/>
      <c r="F46" s="166"/>
      <c r="G46" s="166"/>
    </row>
    <row r="47" spans="1:7" x14ac:dyDescent="0.15">
      <c r="C47" s="71"/>
    </row>
    <row r="48" spans="1:7" x14ac:dyDescent="0.15">
      <c r="C48" s="71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</sheetData>
  <sheetProtection insertColumns="0" insertRows="0"/>
  <mergeCells count="4">
    <mergeCell ref="A1:G1"/>
    <mergeCell ref="A4:G4"/>
    <mergeCell ref="A45:G45"/>
    <mergeCell ref="A46:G46"/>
  </mergeCells>
  <phoneticPr fontId="10" type="noConversion"/>
  <hyperlinks>
    <hyperlink ref="A46" r:id="rId1" xr:uid="{6AAB1F31-13B5-DF45-BE06-0691DAB2D836}"/>
  </hyperlinks>
  <printOptions horizontalCentered="1" verticalCentered="1"/>
  <pageMargins left="0.2" right="0.2" top="0.2" bottom="0.2" header="0.2" footer="0.51"/>
  <pageSetup paperSize="9" scale="91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2FACE-7D5D-3E49-AE33-0BEA50C0B68C}">
  <sheetPr>
    <pageSetUpPr fitToPage="1"/>
  </sheetPr>
  <dimension ref="A1:F21"/>
  <sheetViews>
    <sheetView showRuler="0" topLeftCell="A3" zoomScale="105" workbookViewId="0">
      <selection activeCell="F16" sqref="F16"/>
    </sheetView>
  </sheetViews>
  <sheetFormatPr baseColWidth="10" defaultRowHeight="16" x14ac:dyDescent="0.2"/>
  <cols>
    <col min="1" max="1" width="17.5" customWidth="1"/>
    <col min="2" max="2" width="15.6640625" customWidth="1"/>
    <col min="3" max="3" width="15.1640625" customWidth="1"/>
    <col min="4" max="5" width="20.6640625" customWidth="1"/>
    <col min="6" max="6" width="10.6640625" customWidth="1"/>
  </cols>
  <sheetData>
    <row r="1" spans="1:6" ht="31" customHeight="1" x14ac:dyDescent="0.25">
      <c r="A1" s="120" t="s">
        <v>291</v>
      </c>
      <c r="B1" s="121" t="s">
        <v>312</v>
      </c>
      <c r="C1" s="33"/>
      <c r="D1" s="33"/>
      <c r="E1" s="121" t="s">
        <v>130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33">
        <v>90878790</v>
      </c>
      <c r="B3" s="33" t="s">
        <v>61</v>
      </c>
      <c r="C3" s="33" t="s">
        <v>85</v>
      </c>
      <c r="D3" s="119">
        <v>0.58799999999999997</v>
      </c>
      <c r="E3" s="40">
        <v>0</v>
      </c>
      <c r="F3" s="40">
        <v>0</v>
      </c>
    </row>
    <row r="4" spans="1:6" ht="31" customHeight="1" x14ac:dyDescent="0.2">
      <c r="A4" s="33">
        <v>90878791</v>
      </c>
      <c r="B4" s="33" t="s">
        <v>64</v>
      </c>
      <c r="C4" s="33" t="s">
        <v>86</v>
      </c>
      <c r="D4" s="119">
        <v>1.764</v>
      </c>
      <c r="E4" s="40">
        <v>1089</v>
      </c>
      <c r="F4" s="40">
        <v>995</v>
      </c>
    </row>
    <row r="5" spans="1:6" ht="31" customHeight="1" x14ac:dyDescent="0.2">
      <c r="A5" s="33">
        <v>90878792</v>
      </c>
      <c r="B5" s="33" t="s">
        <v>65</v>
      </c>
      <c r="C5" s="33" t="s">
        <v>87</v>
      </c>
      <c r="D5" s="119">
        <v>1.175</v>
      </c>
      <c r="E5" s="40">
        <v>898</v>
      </c>
      <c r="F5" s="40">
        <v>627</v>
      </c>
    </row>
    <row r="6" spans="1:6" ht="31" customHeight="1" x14ac:dyDescent="0.2">
      <c r="A6" s="33">
        <v>90878793</v>
      </c>
      <c r="B6" s="33" t="s">
        <v>66</v>
      </c>
      <c r="C6" s="33" t="s">
        <v>87</v>
      </c>
      <c r="D6" s="119">
        <v>1.175</v>
      </c>
      <c r="E6" s="40">
        <v>0</v>
      </c>
      <c r="F6" s="40">
        <v>236</v>
      </c>
    </row>
    <row r="7" spans="1:6" ht="31" customHeight="1" x14ac:dyDescent="0.2">
      <c r="A7" s="33">
        <v>90878794</v>
      </c>
      <c r="B7" s="33" t="s">
        <v>56</v>
      </c>
      <c r="C7" s="33" t="s">
        <v>85</v>
      </c>
      <c r="D7" s="119">
        <v>0.58799999999999997</v>
      </c>
      <c r="E7" s="40">
        <v>0</v>
      </c>
      <c r="F7" s="40">
        <v>0</v>
      </c>
    </row>
    <row r="8" spans="1:6" ht="31" customHeight="1" x14ac:dyDescent="0.2">
      <c r="A8" s="33">
        <v>90878795</v>
      </c>
      <c r="B8" s="33" t="s">
        <v>55</v>
      </c>
      <c r="C8" s="33" t="s">
        <v>84</v>
      </c>
      <c r="D8" s="119">
        <v>1.23</v>
      </c>
      <c r="E8" s="40">
        <v>72</v>
      </c>
      <c r="F8" s="40">
        <v>201</v>
      </c>
    </row>
    <row r="9" spans="1:6" ht="31" customHeight="1" x14ac:dyDescent="0.2">
      <c r="A9" s="33">
        <v>90878796</v>
      </c>
      <c r="B9" s="33" t="s">
        <v>57</v>
      </c>
      <c r="C9" s="33" t="s">
        <v>88</v>
      </c>
      <c r="D9" s="119">
        <v>1.47</v>
      </c>
      <c r="E9" s="40">
        <v>1</v>
      </c>
      <c r="F9" s="40">
        <v>1</v>
      </c>
    </row>
    <row r="10" spans="1:6" ht="31" customHeight="1" x14ac:dyDescent="0.2">
      <c r="A10" s="126"/>
      <c r="B10" s="33"/>
      <c r="C10" s="34"/>
      <c r="D10" s="33"/>
      <c r="E10" s="28"/>
      <c r="F10" s="28"/>
    </row>
    <row r="11" spans="1:6" ht="31" customHeight="1" x14ac:dyDescent="0.2">
      <c r="A11" s="30" t="s">
        <v>31</v>
      </c>
      <c r="B11" s="30" t="s">
        <v>115</v>
      </c>
      <c r="C11" s="31"/>
      <c r="D11" s="32"/>
      <c r="E11" s="32" t="s">
        <v>28</v>
      </c>
      <c r="F11" s="32"/>
    </row>
    <row r="12" spans="1:6" ht="31" customHeight="1" x14ac:dyDescent="0.2">
      <c r="A12" s="122" t="s">
        <v>257</v>
      </c>
      <c r="B12" s="28" t="s">
        <v>55</v>
      </c>
      <c r="C12" s="29" t="s">
        <v>284</v>
      </c>
      <c r="D12" s="28"/>
      <c r="E12" s="124">
        <v>31.9</v>
      </c>
      <c r="F12" s="124">
        <v>33.976999999999997</v>
      </c>
    </row>
    <row r="13" spans="1:6" ht="31" customHeight="1" x14ac:dyDescent="0.2">
      <c r="A13" s="30" t="s">
        <v>32</v>
      </c>
      <c r="B13" s="30" t="s">
        <v>115</v>
      </c>
      <c r="C13" s="31"/>
      <c r="D13" s="32"/>
      <c r="E13" s="32"/>
      <c r="F13" s="32"/>
    </row>
    <row r="14" spans="1:6" ht="31" customHeight="1" x14ac:dyDescent="0.2">
      <c r="A14" s="126" t="s">
        <v>258</v>
      </c>
      <c r="B14" s="33" t="s">
        <v>55</v>
      </c>
      <c r="C14" s="29" t="s">
        <v>284</v>
      </c>
      <c r="D14" s="28"/>
      <c r="E14" s="124">
        <v>106.2</v>
      </c>
      <c r="F14" s="124">
        <v>124.322</v>
      </c>
    </row>
    <row r="15" spans="1:6" ht="31" customHeight="1" x14ac:dyDescent="0.2">
      <c r="A15" s="126" t="s">
        <v>259</v>
      </c>
      <c r="B15" s="33" t="s">
        <v>117</v>
      </c>
      <c r="C15" s="35" t="s">
        <v>284</v>
      </c>
      <c r="D15" s="28"/>
      <c r="E15" s="124">
        <v>10.4</v>
      </c>
      <c r="F15" s="124">
        <v>17.004000000000001</v>
      </c>
    </row>
    <row r="16" spans="1:6" ht="55" customHeight="1" x14ac:dyDescent="0.2">
      <c r="A16" s="122"/>
      <c r="B16" s="28"/>
      <c r="C16" s="29"/>
      <c r="D16" s="28"/>
      <c r="E16" s="28" t="s">
        <v>293</v>
      </c>
      <c r="F16" s="124"/>
    </row>
    <row r="17" spans="1:6" x14ac:dyDescent="0.2">
      <c r="A17" s="122" t="s">
        <v>27</v>
      </c>
      <c r="B17" s="167" t="s">
        <v>119</v>
      </c>
      <c r="C17" s="167"/>
      <c r="D17" s="28" t="s">
        <v>118</v>
      </c>
      <c r="E17" s="28"/>
      <c r="F17" s="28"/>
    </row>
    <row r="18" spans="1:6" ht="50" customHeight="1" x14ac:dyDescent="0.2">
      <c r="A18" s="125"/>
      <c r="B18" s="167"/>
      <c r="C18" s="167"/>
      <c r="D18" s="167"/>
      <c r="E18" s="167"/>
      <c r="F18" s="167"/>
    </row>
    <row r="20" spans="1:6" x14ac:dyDescent="0.2">
      <c r="C20" s="17"/>
    </row>
    <row r="21" spans="1:6" x14ac:dyDescent="0.2">
      <c r="C21" s="17"/>
    </row>
  </sheetData>
  <mergeCells count="3">
    <mergeCell ref="B17:C17"/>
    <mergeCell ref="B18:C18"/>
    <mergeCell ref="D18:F18"/>
  </mergeCells>
  <printOptions horizontalCentered="1" verticalCentered="1"/>
  <pageMargins left="0.75000000000000011" right="0.75000000000000011" top="1" bottom="1" header="0.5" footer="0.5"/>
  <pageSetup paperSize="9" scale="80" orientation="portrait" horizontalDpi="0" verticalDpi="0" copies="2"/>
  <headerFooter>
    <oddHeader>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40"/>
  <sheetViews>
    <sheetView showRuler="0" topLeftCell="A13" workbookViewId="0">
      <selection activeCell="C34" sqref="C34:C35"/>
    </sheetView>
  </sheetViews>
  <sheetFormatPr baseColWidth="10" defaultColWidth="11" defaultRowHeight="16" x14ac:dyDescent="0.2"/>
  <cols>
    <col min="1" max="1" width="17.83203125" customWidth="1"/>
    <col min="2" max="2" width="14" customWidth="1"/>
    <col min="3" max="3" width="12" customWidth="1"/>
    <col min="4" max="4" width="14" customWidth="1"/>
    <col min="5" max="5" width="13.5" bestFit="1" customWidth="1"/>
    <col min="6" max="6" width="13" customWidth="1"/>
    <col min="7" max="7" width="14.1640625" customWidth="1"/>
  </cols>
  <sheetData>
    <row r="1" spans="1:8" x14ac:dyDescent="0.2">
      <c r="A1" s="6" t="s">
        <v>8</v>
      </c>
      <c r="B1" s="6"/>
      <c r="C1" s="6" t="s">
        <v>62</v>
      </c>
      <c r="D1" s="6" t="s">
        <v>63</v>
      </c>
      <c r="E1" s="112" t="s">
        <v>315</v>
      </c>
    </row>
    <row r="2" spans="1:8" x14ac:dyDescent="0.2">
      <c r="E2" s="2"/>
    </row>
    <row r="3" spans="1:8" x14ac:dyDescent="0.2">
      <c r="A3" s="162" t="s">
        <v>5</v>
      </c>
      <c r="B3" s="162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SUM(Hauptabrechnung!F27*30%)</f>
        <v>948.67439716817694</v>
      </c>
      <c r="D4" s="15">
        <v>414.52</v>
      </c>
      <c r="E4" s="2">
        <f>SUM(C4/D4)</f>
        <v>2.2886094691888861</v>
      </c>
      <c r="F4" s="15">
        <v>69.13</v>
      </c>
      <c r="G4" t="s">
        <v>15</v>
      </c>
      <c r="H4" s="2">
        <f>SUM(E4*F4)</f>
        <v>158.2115726050277</v>
      </c>
    </row>
    <row r="5" spans="1:8" x14ac:dyDescent="0.2">
      <c r="A5" t="s">
        <v>12</v>
      </c>
      <c r="C5" s="2">
        <f>SUM(Hauptabrechnung!F27*70%)</f>
        <v>2213.5735933924129</v>
      </c>
      <c r="D5" s="36">
        <f>VALUE(Hauptabrechnung!D48)</f>
        <v>17664.22</v>
      </c>
      <c r="E5" s="2">
        <f>SUM(C5/D5)</f>
        <v>0.1253139732970045</v>
      </c>
      <c r="F5" s="36">
        <f>VALUE(H28)</f>
        <v>4982.4960000000001</v>
      </c>
      <c r="G5" t="s">
        <v>67</v>
      </c>
      <c r="H5" s="2">
        <f>SUM(E5*F5)</f>
        <v>624.37637069643176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62" t="s">
        <v>1</v>
      </c>
      <c r="B7" s="162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SUM(Hauptabrechnung!F33*30%)</f>
        <v>366.70126919893301</v>
      </c>
      <c r="D8" s="15">
        <v>414.52</v>
      </c>
      <c r="E8" s="2">
        <f>SUM(C8/D8)</f>
        <v>0.88464071504133224</v>
      </c>
      <c r="F8" s="15">
        <v>69.13</v>
      </c>
      <c r="G8" t="s">
        <v>15</v>
      </c>
      <c r="H8" s="2">
        <f>SUM(E8*F8)</f>
        <v>61.155212630807291</v>
      </c>
    </row>
    <row r="9" spans="1:8" x14ac:dyDescent="0.2">
      <c r="A9" t="s">
        <v>12</v>
      </c>
      <c r="C9" s="2">
        <f>SUM(Hauptabrechnung!F33*70%)</f>
        <v>855.63629479751035</v>
      </c>
      <c r="D9" s="15">
        <f>VALUE(Hauptabrechnung!D52)</f>
        <v>75.512</v>
      </c>
      <c r="E9" s="2">
        <f>SUM(C9/D9)</f>
        <v>11.331130082602902</v>
      </c>
      <c r="F9" s="15">
        <f>VALUE(H32)</f>
        <v>13.531999999999996</v>
      </c>
      <c r="G9" t="s">
        <v>68</v>
      </c>
      <c r="H9" s="2">
        <f>SUM(E9*F9)</f>
        <v>153.33285227778242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62" t="s">
        <v>4</v>
      </c>
      <c r="B11" s="162"/>
      <c r="C11" s="2">
        <f>SUM(Hauptabrechnung!C54)</f>
        <v>1307.9544454429661</v>
      </c>
      <c r="D11" s="15">
        <f>VALUE(Hauptabrechnung!B15)</f>
        <v>193.77500000000003</v>
      </c>
      <c r="E11" s="2">
        <f>SUM(C11/D11)</f>
        <v>6.7498616717479853</v>
      </c>
      <c r="F11" s="15">
        <f>VALUE(H37)</f>
        <v>36.547000000000011</v>
      </c>
      <c r="G11" t="s">
        <v>68</v>
      </c>
      <c r="H11" s="2">
        <f>SUM(E11*F11)</f>
        <v>246.68719451737368</v>
      </c>
    </row>
    <row r="12" spans="1:8" x14ac:dyDescent="0.2">
      <c r="A12" t="s">
        <v>140</v>
      </c>
    </row>
    <row r="13" spans="1:8" x14ac:dyDescent="0.2">
      <c r="A13" s="162" t="s">
        <v>3</v>
      </c>
      <c r="B13" s="162"/>
      <c r="C13" s="2">
        <f>SUM(C4:C11)</f>
        <v>5692.5399999999991</v>
      </c>
      <c r="H13" s="2">
        <f>SUM(H4+H5+H8+H9+H11)</f>
        <v>1243.763202727423</v>
      </c>
    </row>
    <row r="14" spans="1:8" x14ac:dyDescent="0.2">
      <c r="A14" s="162" t="s">
        <v>122</v>
      </c>
      <c r="B14" s="162"/>
      <c r="H14" s="2">
        <f>VALUE([1]Bernsee!$H$13)</f>
        <v>1235.3246335858844</v>
      </c>
    </row>
    <row r="15" spans="1:8" x14ac:dyDescent="0.2">
      <c r="A15" s="162" t="s">
        <v>24</v>
      </c>
      <c r="B15" s="162"/>
      <c r="H15" s="2">
        <f>SUM(H13-H14)</f>
        <v>8.4385691415386646</v>
      </c>
    </row>
    <row r="16" spans="1:8" x14ac:dyDescent="0.2">
      <c r="H16" s="2"/>
    </row>
    <row r="17" spans="1:9" x14ac:dyDescent="0.2">
      <c r="H17" s="2"/>
    </row>
    <row r="18" spans="1:9" x14ac:dyDescent="0.2">
      <c r="A18" s="12"/>
      <c r="D18" s="10"/>
      <c r="F18" s="3"/>
    </row>
    <row r="19" spans="1:9" s="21" customFormat="1" x14ac:dyDescent="0.2">
      <c r="A19" s="52" t="s">
        <v>25</v>
      </c>
      <c r="B19" s="52" t="s">
        <v>144</v>
      </c>
      <c r="C19" s="53" t="s">
        <v>27</v>
      </c>
      <c r="D19" s="51" t="s">
        <v>54</v>
      </c>
      <c r="E19" s="51" t="s">
        <v>114</v>
      </c>
      <c r="F19" s="51"/>
      <c r="G19" s="53" t="s">
        <v>29</v>
      </c>
      <c r="H19" s="53" t="s">
        <v>30</v>
      </c>
    </row>
    <row r="20" spans="1:9" x14ac:dyDescent="0.2">
      <c r="A20">
        <v>90878805</v>
      </c>
      <c r="B20" s="16" t="s">
        <v>61</v>
      </c>
      <c r="C20" s="17"/>
      <c r="D20" s="20" t="s">
        <v>79</v>
      </c>
      <c r="E20" s="64">
        <v>0.73499999999999999</v>
      </c>
      <c r="F20" s="37"/>
      <c r="G20" s="37">
        <f>VALUE('Ablesung Bernsee'!F3)</f>
        <v>0</v>
      </c>
      <c r="H20" s="37">
        <f t="shared" ref="H20:H27" si="0">SUM(E20*G20)</f>
        <v>0</v>
      </c>
      <c r="I20" s="11"/>
    </row>
    <row r="21" spans="1:9" x14ac:dyDescent="0.2">
      <c r="A21">
        <v>90878806</v>
      </c>
      <c r="B21" s="16" t="s">
        <v>55</v>
      </c>
      <c r="C21" s="17"/>
      <c r="D21" s="20" t="s">
        <v>80</v>
      </c>
      <c r="E21" s="64">
        <v>1.7170000000000001</v>
      </c>
      <c r="F21" s="37"/>
      <c r="G21" s="37">
        <f>VALUE('Ablesung Bernsee'!F4)</f>
        <v>1818</v>
      </c>
      <c r="H21" s="37">
        <f t="shared" si="0"/>
        <v>3121.5060000000003</v>
      </c>
      <c r="I21" s="11"/>
    </row>
    <row r="22" spans="1:9" x14ac:dyDescent="0.2">
      <c r="A22">
        <v>90878807</v>
      </c>
      <c r="B22" s="16" t="s">
        <v>69</v>
      </c>
      <c r="C22" s="17"/>
      <c r="D22" s="20" t="s">
        <v>78</v>
      </c>
      <c r="E22" s="64">
        <v>0.75800000000000001</v>
      </c>
      <c r="F22" s="37"/>
      <c r="G22" s="37">
        <f>VALUE('Ablesung Bernsee'!F5)</f>
        <v>0</v>
      </c>
      <c r="H22" s="37">
        <f t="shared" si="0"/>
        <v>0</v>
      </c>
      <c r="I22" s="11"/>
    </row>
    <row r="23" spans="1:9" x14ac:dyDescent="0.2">
      <c r="A23">
        <v>90878808</v>
      </c>
      <c r="B23" s="16" t="s">
        <v>70</v>
      </c>
      <c r="C23" s="17"/>
      <c r="D23" s="20" t="s">
        <v>78</v>
      </c>
      <c r="E23" s="64">
        <v>0.75800000000000001</v>
      </c>
      <c r="F23" s="37"/>
      <c r="G23" s="37">
        <f>VALUE('Ablesung Bernsee'!F6)</f>
        <v>0</v>
      </c>
      <c r="H23" s="37">
        <f t="shared" si="0"/>
        <v>0</v>
      </c>
      <c r="I23" s="11"/>
    </row>
    <row r="24" spans="1:9" x14ac:dyDescent="0.2">
      <c r="A24">
        <v>90878809</v>
      </c>
      <c r="B24" s="16" t="s">
        <v>56</v>
      </c>
      <c r="C24" s="17"/>
      <c r="D24" s="20" t="s">
        <v>79</v>
      </c>
      <c r="E24" s="64">
        <v>0.73499999999999999</v>
      </c>
      <c r="F24" s="37"/>
      <c r="G24" s="37">
        <f>VALUE('Ablesung Bernsee'!F7)</f>
        <v>0</v>
      </c>
      <c r="H24" s="37">
        <f t="shared" si="0"/>
        <v>0</v>
      </c>
      <c r="I24" s="11"/>
    </row>
    <row r="25" spans="1:9" x14ac:dyDescent="0.2">
      <c r="A25">
        <v>90878810</v>
      </c>
      <c r="B25" s="16" t="s">
        <v>64</v>
      </c>
      <c r="C25" s="17"/>
      <c r="D25" s="20" t="s">
        <v>81</v>
      </c>
      <c r="E25" s="64">
        <v>1.335</v>
      </c>
      <c r="F25" s="37"/>
      <c r="G25" s="37">
        <f>VALUE('Ablesung Bernsee'!F8)</f>
        <v>1394</v>
      </c>
      <c r="H25" s="37">
        <f t="shared" si="0"/>
        <v>1860.99</v>
      </c>
      <c r="I25" s="11"/>
    </row>
    <row r="26" spans="1:9" x14ac:dyDescent="0.2">
      <c r="A26">
        <v>90878811</v>
      </c>
      <c r="B26" s="16" t="s">
        <v>65</v>
      </c>
      <c r="C26" s="17"/>
      <c r="D26" s="118" t="s">
        <v>82</v>
      </c>
      <c r="E26" s="64">
        <v>1.9079999999999999</v>
      </c>
      <c r="F26" s="37"/>
      <c r="G26" s="37">
        <f>VALUE('Ablesung Bernsee'!F9)</f>
        <v>0</v>
      </c>
      <c r="H26" s="37">
        <f t="shared" si="0"/>
        <v>0</v>
      </c>
      <c r="I26" s="11"/>
    </row>
    <row r="27" spans="1:9" x14ac:dyDescent="0.2">
      <c r="A27">
        <v>90878812</v>
      </c>
      <c r="B27" s="16" t="s">
        <v>57</v>
      </c>
      <c r="C27" s="17"/>
      <c r="D27" s="20" t="s">
        <v>83</v>
      </c>
      <c r="E27" s="64">
        <v>0.97499999999999998</v>
      </c>
      <c r="F27" s="37"/>
      <c r="G27" s="37">
        <f>VALUE('Ablesung Bernsee'!F10)</f>
        <v>0</v>
      </c>
      <c r="H27" s="37">
        <f t="shared" si="0"/>
        <v>0</v>
      </c>
      <c r="I27" s="11"/>
    </row>
    <row r="28" spans="1:9" x14ac:dyDescent="0.2">
      <c r="A28" s="19" t="s">
        <v>30</v>
      </c>
      <c r="B28" s="16"/>
      <c r="C28" s="16"/>
      <c r="D28" s="20"/>
      <c r="E28" s="16"/>
      <c r="F28" s="37"/>
      <c r="G28" s="46" t="s">
        <v>35</v>
      </c>
      <c r="H28" s="37">
        <f>SUM(H20+H21+H22+H23+H24+H25+H26+H27)</f>
        <v>4982.4960000000001</v>
      </c>
    </row>
    <row r="29" spans="1:9" x14ac:dyDescent="0.2">
      <c r="A29" s="12"/>
      <c r="D29" s="10"/>
      <c r="F29" s="3"/>
    </row>
    <row r="30" spans="1:9" s="21" customFormat="1" x14ac:dyDescent="0.2">
      <c r="A30" s="50" t="s">
        <v>31</v>
      </c>
      <c r="C30" s="55" t="s">
        <v>27</v>
      </c>
      <c r="D30" s="58" t="s">
        <v>131</v>
      </c>
      <c r="E30" s="51" t="s">
        <v>114</v>
      </c>
      <c r="F30" s="57" t="s">
        <v>28</v>
      </c>
      <c r="G30" s="57" t="s">
        <v>29</v>
      </c>
      <c r="H30" s="57" t="s">
        <v>30</v>
      </c>
    </row>
    <row r="31" spans="1:9" x14ac:dyDescent="0.2">
      <c r="A31" s="12" t="s">
        <v>42</v>
      </c>
      <c r="B31" t="s">
        <v>26</v>
      </c>
      <c r="C31" s="17"/>
      <c r="D31" s="20" t="s">
        <v>133</v>
      </c>
      <c r="E31">
        <v>1</v>
      </c>
      <c r="F31" s="41">
        <f>VALUE('Ablesung Bernsee'!E13)</f>
        <v>65</v>
      </c>
      <c r="G31" s="41">
        <f>VALUE('Ablesung Bernsee'!F13)</f>
        <v>78.531999999999996</v>
      </c>
      <c r="H31" s="41">
        <f>SUM(G31-F31)</f>
        <v>13.531999999999996</v>
      </c>
    </row>
    <row r="32" spans="1:9" x14ac:dyDescent="0.2">
      <c r="A32" s="12"/>
      <c r="C32" s="10"/>
      <c r="F32" s="41"/>
      <c r="G32" s="43" t="s">
        <v>35</v>
      </c>
      <c r="H32" s="41">
        <f>SUM(H31)</f>
        <v>13.531999999999996</v>
      </c>
    </row>
    <row r="33" spans="1:8" x14ac:dyDescent="0.2">
      <c r="A33" s="12"/>
      <c r="C33" s="10"/>
      <c r="F33" s="41"/>
      <c r="G33" s="41"/>
      <c r="H33" s="41"/>
    </row>
    <row r="34" spans="1:8" s="21" customFormat="1" x14ac:dyDescent="0.2">
      <c r="A34" s="50" t="s">
        <v>32</v>
      </c>
      <c r="C34" s="55" t="s">
        <v>27</v>
      </c>
      <c r="D34" s="51" t="s">
        <v>131</v>
      </c>
      <c r="E34" s="51" t="s">
        <v>114</v>
      </c>
      <c r="F34" s="57" t="s">
        <v>28</v>
      </c>
      <c r="G34" s="57" t="s">
        <v>29</v>
      </c>
      <c r="H34" s="57" t="s">
        <v>30</v>
      </c>
    </row>
    <row r="35" spans="1:8" x14ac:dyDescent="0.2">
      <c r="A35" s="12" t="s">
        <v>43</v>
      </c>
      <c r="B35" t="s">
        <v>26</v>
      </c>
      <c r="C35" s="17"/>
      <c r="D35" t="s">
        <v>133</v>
      </c>
      <c r="E35">
        <v>1</v>
      </c>
      <c r="F35" s="41">
        <f>VALUE('Ablesung Bernsee'!E15)</f>
        <v>160.69999999999999</v>
      </c>
      <c r="G35" s="41">
        <f>VALUE('Ablesung Bernsee'!F15)</f>
        <v>190.977</v>
      </c>
      <c r="H35" s="41">
        <f>SUM(G35-F35)</f>
        <v>30.277000000000015</v>
      </c>
    </row>
    <row r="36" spans="1:8" x14ac:dyDescent="0.2">
      <c r="A36" s="12" t="s">
        <v>44</v>
      </c>
      <c r="B36" t="s">
        <v>34</v>
      </c>
      <c r="C36" s="17"/>
      <c r="D36" t="s">
        <v>133</v>
      </c>
      <c r="E36">
        <v>1</v>
      </c>
      <c r="F36" s="41">
        <f>VALUE('Ablesung Bernsee'!E16)</f>
        <v>61.2</v>
      </c>
      <c r="G36" s="41">
        <f>VALUE('Ablesung Bernsee'!F16)</f>
        <v>67.47</v>
      </c>
      <c r="H36" s="41">
        <f>SUM(G36-F36)</f>
        <v>6.269999999999996</v>
      </c>
    </row>
    <row r="37" spans="1:8" x14ac:dyDescent="0.2">
      <c r="A37" s="12"/>
      <c r="C37" s="10"/>
      <c r="D37" s="10"/>
      <c r="F37" s="41"/>
      <c r="G37" s="43" t="s">
        <v>35</v>
      </c>
      <c r="H37" s="41">
        <f>SUM(H35+H36)</f>
        <v>36.547000000000011</v>
      </c>
    </row>
    <row r="38" spans="1:8" x14ac:dyDescent="0.2">
      <c r="A38" s="12"/>
      <c r="C38" s="10"/>
      <c r="F38" s="3"/>
    </row>
    <row r="39" spans="1:8" x14ac:dyDescent="0.2">
      <c r="A39" s="12"/>
      <c r="C39" s="10"/>
      <c r="F39" s="3"/>
    </row>
    <row r="40" spans="1:8" x14ac:dyDescent="0.2">
      <c r="A40" s="12"/>
      <c r="C40" s="10"/>
      <c r="F40" s="3"/>
    </row>
  </sheetData>
  <mergeCells count="6">
    <mergeCell ref="A15:B15"/>
    <mergeCell ref="A3:B3"/>
    <mergeCell ref="A7:B7"/>
    <mergeCell ref="A11:B11"/>
    <mergeCell ref="A13:B13"/>
    <mergeCell ref="A14:B14"/>
  </mergeCells>
  <phoneticPr fontId="3" type="noConversion"/>
  <printOptions horizontalCentered="1" verticalCentered="1"/>
  <pageMargins left="0.2" right="0.2" top="0.2" bottom="0.2" header="0.2" footer="0.51"/>
  <pageSetup paperSize="9" scale="86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G223"/>
  <sheetViews>
    <sheetView showRuler="0" topLeftCell="A5" workbookViewId="0">
      <selection activeCell="C34" sqref="C34:C35"/>
    </sheetView>
  </sheetViews>
  <sheetFormatPr baseColWidth="10" defaultRowHeight="13" x14ac:dyDescent="0.15"/>
  <cols>
    <col min="1" max="1" width="26.33203125" style="70" customWidth="1"/>
    <col min="2" max="2" width="8.5" style="71" customWidth="1"/>
    <col min="3" max="3" width="10.83203125" style="72"/>
    <col min="4" max="4" width="9.33203125" style="72" customWidth="1"/>
    <col min="5" max="5" width="19.5" style="70" customWidth="1"/>
    <col min="6" max="6" width="10.6640625" style="70" customWidth="1"/>
    <col min="7" max="7" width="18.5" style="71" customWidth="1"/>
    <col min="8" max="16384" width="10.83203125" style="72"/>
  </cols>
  <sheetData>
    <row r="1" spans="1:7" s="69" customFormat="1" ht="16" x14ac:dyDescent="0.2">
      <c r="A1" s="163" t="s">
        <v>196</v>
      </c>
      <c r="B1" s="163"/>
      <c r="C1" s="163"/>
      <c r="D1" s="163"/>
      <c r="E1" s="163"/>
      <c r="F1" s="163"/>
      <c r="G1" s="163"/>
    </row>
    <row r="2" spans="1:7" ht="36.75" customHeight="1" x14ac:dyDescent="0.15"/>
    <row r="3" spans="1:7" s="76" customFormat="1" ht="56" x14ac:dyDescent="0.15">
      <c r="A3" s="74" t="s">
        <v>229</v>
      </c>
      <c r="B3" s="75"/>
      <c r="E3" s="74"/>
      <c r="F3" s="74"/>
      <c r="G3" s="77">
        <f ca="1">TODAY()</f>
        <v>46119</v>
      </c>
    </row>
    <row r="4" spans="1:7" s="78" customFormat="1" ht="24.75" customHeight="1" x14ac:dyDescent="0.25">
      <c r="A4" s="164" t="s">
        <v>313</v>
      </c>
      <c r="B4" s="164"/>
      <c r="C4" s="164"/>
      <c r="D4" s="164"/>
      <c r="E4" s="164"/>
      <c r="F4" s="164"/>
      <c r="G4" s="164"/>
    </row>
    <row r="5" spans="1:7" s="69" customFormat="1" ht="21" customHeight="1" x14ac:dyDescent="0.15">
      <c r="A5" s="79" t="s">
        <v>230</v>
      </c>
      <c r="B5" s="80"/>
      <c r="E5" s="79"/>
      <c r="F5" s="79" t="s">
        <v>309</v>
      </c>
      <c r="G5" s="81" t="s">
        <v>314</v>
      </c>
    </row>
    <row r="6" spans="1:7" s="84" customFormat="1" ht="14.25" customHeight="1" x14ac:dyDescent="0.2">
      <c r="A6" s="82" t="s">
        <v>199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204</v>
      </c>
    </row>
    <row r="8" spans="1:7" x14ac:dyDescent="0.15">
      <c r="D8" s="72" t="s">
        <v>205</v>
      </c>
      <c r="F8" s="70" t="s">
        <v>205</v>
      </c>
      <c r="G8" s="73"/>
    </row>
    <row r="9" spans="1:7" s="88" customFormat="1" x14ac:dyDescent="0.2">
      <c r="A9" s="86" t="s">
        <v>199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2025'!I19)</f>
        <v>2400</v>
      </c>
      <c r="D10" s="90">
        <v>6</v>
      </c>
      <c r="E10" s="70" t="s">
        <v>207</v>
      </c>
      <c r="F10" s="91" t="s">
        <v>208</v>
      </c>
      <c r="G10" s="92">
        <f>SUM(C10/D10*F10)</f>
        <v>400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5692.54</v>
      </c>
      <c r="D12" s="90">
        <v>1</v>
      </c>
      <c r="E12" s="70" t="s">
        <v>210</v>
      </c>
      <c r="F12" s="91" t="s">
        <v>208</v>
      </c>
      <c r="G12" s="92">
        <f>VALUE(Bernsee!$H$13)</f>
        <v>1243.763202727423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SUM(C15+C16+C17)</f>
        <v>404.76</v>
      </c>
      <c r="D14" s="90">
        <v>6</v>
      </c>
      <c r="E14" s="70" t="s">
        <v>207</v>
      </c>
      <c r="F14" s="91" t="s">
        <v>208</v>
      </c>
      <c r="G14" s="92">
        <f>SUM(C14/D14*F14)</f>
        <v>67.459999999999994</v>
      </c>
    </row>
    <row r="15" spans="1:7" x14ac:dyDescent="0.15">
      <c r="A15" s="70" t="s">
        <v>212</v>
      </c>
      <c r="C15" s="93">
        <f>VALUE('Zahlungen 2025'!D42)</f>
        <v>99.81</v>
      </c>
      <c r="D15" s="90"/>
      <c r="F15" s="91"/>
      <c r="G15" s="92"/>
    </row>
    <row r="16" spans="1:7" x14ac:dyDescent="0.15">
      <c r="A16" s="70" t="s">
        <v>213</v>
      </c>
      <c r="C16" s="93">
        <f>VALUE('Zahlungen 2025'!I42)</f>
        <v>304.95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2025'!B42)</f>
        <v>526.29999999999995</v>
      </c>
      <c r="D18" s="90">
        <v>6</v>
      </c>
      <c r="E18" s="70" t="s">
        <v>207</v>
      </c>
      <c r="F18" s="91" t="s">
        <v>208</v>
      </c>
      <c r="G18" s="92">
        <f>SUM(C18/D18*F18)</f>
        <v>87.716666666666654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2025'!F42)</f>
        <v>496.8</v>
      </c>
      <c r="D20" s="90">
        <v>10</v>
      </c>
      <c r="E20" s="70" t="s">
        <v>227</v>
      </c>
      <c r="F20" s="91" t="s">
        <v>208</v>
      </c>
      <c r="G20" s="92">
        <f t="shared" ref="G20" si="0">SUM(C20/D20*F20)</f>
        <v>49.68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C23" s="71"/>
      <c r="D23" s="90"/>
      <c r="F23" s="91"/>
      <c r="G23" s="92"/>
    </row>
    <row r="24" spans="1:7" x14ac:dyDescent="0.15">
      <c r="C24" s="71"/>
      <c r="D24" s="90"/>
      <c r="F24" s="91"/>
      <c r="G24" s="92"/>
    </row>
    <row r="25" spans="1:7" x14ac:dyDescent="0.15">
      <c r="A25" s="79" t="s">
        <v>217</v>
      </c>
      <c r="B25" s="80"/>
      <c r="C25" s="71">
        <f>SUM(C26+C27)</f>
        <v>1787.29</v>
      </c>
      <c r="D25" s="90">
        <v>6</v>
      </c>
      <c r="E25" s="70" t="s">
        <v>218</v>
      </c>
      <c r="F25" s="91" t="s">
        <v>208</v>
      </c>
      <c r="G25" s="92">
        <f>SUM(C25/D25*F25)</f>
        <v>297.88166666666666</v>
      </c>
    </row>
    <row r="26" spans="1:7" x14ac:dyDescent="0.15">
      <c r="A26" s="70" t="s">
        <v>219</v>
      </c>
      <c r="C26" s="71">
        <f>VALUE('Zahlungen 2025'!C24)</f>
        <v>1726.84</v>
      </c>
      <c r="D26" s="90"/>
      <c r="F26" s="91"/>
      <c r="G26" s="92"/>
    </row>
    <row r="27" spans="1:7" x14ac:dyDescent="0.15">
      <c r="A27" s="70" t="s">
        <v>220</v>
      </c>
      <c r="C27" s="71">
        <f>VALUE('Zahlungen 2025'!C23)</f>
        <v>60.45</v>
      </c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216</v>
      </c>
      <c r="C29" s="71">
        <f>VALUE('Zahlungen 2025'!H42)</f>
        <v>50</v>
      </c>
      <c r="D29" s="90">
        <v>6</v>
      </c>
      <c r="E29" s="70" t="s">
        <v>207</v>
      </c>
      <c r="F29" s="91" t="s">
        <v>208</v>
      </c>
      <c r="G29" s="92">
        <f>C29/D29</f>
        <v>8.3333333333333339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221</v>
      </c>
      <c r="C31" s="71">
        <f>VALUE('Zahlungen 2025'!E42)</f>
        <v>172.95000000000002</v>
      </c>
      <c r="D31" s="90">
        <v>6</v>
      </c>
      <c r="E31" s="70" t="s">
        <v>207</v>
      </c>
      <c r="F31" s="91" t="s">
        <v>208</v>
      </c>
      <c r="G31" s="92">
        <f>SUM(C31/D31*F31)</f>
        <v>28.825000000000003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222</v>
      </c>
      <c r="C33" s="71">
        <f>VALUE('Zahlungen 2025'!J42)</f>
        <v>0</v>
      </c>
      <c r="D33" s="90">
        <v>6</v>
      </c>
      <c r="E33" s="70" t="s">
        <v>207</v>
      </c>
      <c r="F33" s="91" t="s">
        <v>208</v>
      </c>
      <c r="G33" s="92">
        <f>SUM(C33/D33*F33)</f>
        <v>0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302</v>
      </c>
      <c r="C35" s="71">
        <f>VALUE('Zahlungen 2025'!J19)</f>
        <v>6000</v>
      </c>
      <c r="D35" s="90">
        <v>6</v>
      </c>
      <c r="E35" s="70" t="s">
        <v>207</v>
      </c>
      <c r="F35" s="91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s="69" customFormat="1" x14ac:dyDescent="0.15">
      <c r="A37" s="79" t="s">
        <v>3</v>
      </c>
      <c r="B37" s="71"/>
      <c r="C37" s="71">
        <f>SUM(C10+C12+C35+C14+C18+C20+C25+C29+C31+C33)</f>
        <v>17530.64</v>
      </c>
      <c r="D37" s="90"/>
      <c r="E37" s="70"/>
      <c r="F37" s="91"/>
      <c r="G37" s="92">
        <f>SUM(G10:G35)</f>
        <v>3183.65986939409</v>
      </c>
    </row>
    <row r="38" spans="1:7" x14ac:dyDescent="0.15">
      <c r="A38" s="79" t="s">
        <v>199</v>
      </c>
      <c r="B38" s="80"/>
      <c r="C38" s="80"/>
      <c r="D38" s="94"/>
      <c r="E38" s="79"/>
      <c r="F38" s="95"/>
      <c r="G38" s="96"/>
    </row>
    <row r="39" spans="1:7" x14ac:dyDescent="0.15">
      <c r="D39" s="90"/>
      <c r="F39" s="91"/>
      <c r="G39" s="92"/>
    </row>
    <row r="40" spans="1:7" x14ac:dyDescent="0.15">
      <c r="A40" s="70" t="s">
        <v>311</v>
      </c>
      <c r="C40" s="71"/>
      <c r="D40" s="90"/>
      <c r="G40" s="93">
        <f>VALUE('Zahlungen 2025'!D19)</f>
        <v>3000</v>
      </c>
    </row>
    <row r="41" spans="1:7" x14ac:dyDescent="0.15">
      <c r="A41" s="86" t="s">
        <v>199</v>
      </c>
      <c r="B41" s="87"/>
      <c r="C41" s="87"/>
      <c r="D41" s="88"/>
      <c r="E41" s="86"/>
      <c r="F41" s="86"/>
      <c r="G41" s="92"/>
    </row>
    <row r="42" spans="1:7" x14ac:dyDescent="0.15">
      <c r="A42" s="79" t="s">
        <v>223</v>
      </c>
      <c r="C42" s="71"/>
      <c r="D42" s="90"/>
      <c r="E42" s="70" t="s">
        <v>297</v>
      </c>
      <c r="G42" s="97">
        <f>SUM(G40-G37)</f>
        <v>-183.65986939409004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x14ac:dyDescent="0.15">
      <c r="G44" s="73"/>
    </row>
    <row r="45" spans="1:7" x14ac:dyDescent="0.15">
      <c r="A45" s="165" t="s">
        <v>239</v>
      </c>
      <c r="B45" s="165"/>
      <c r="C45" s="165"/>
      <c r="D45" s="165"/>
      <c r="E45" s="165"/>
      <c r="F45" s="165"/>
      <c r="G45" s="165"/>
    </row>
    <row r="46" spans="1:7" x14ac:dyDescent="0.15">
      <c r="A46" s="166" t="s">
        <v>224</v>
      </c>
      <c r="B46" s="166"/>
      <c r="C46" s="166"/>
      <c r="D46" s="166"/>
      <c r="E46" s="166"/>
      <c r="F46" s="166"/>
      <c r="G46" s="166"/>
    </row>
    <row r="47" spans="1:7" x14ac:dyDescent="0.15">
      <c r="C47" s="71"/>
    </row>
    <row r="48" spans="1:7" x14ac:dyDescent="0.15">
      <c r="C48" s="71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  <row r="223" spans="3:3" x14ac:dyDescent="0.15">
      <c r="C223" s="71"/>
    </row>
  </sheetData>
  <mergeCells count="4">
    <mergeCell ref="A1:G1"/>
    <mergeCell ref="A4:G4"/>
    <mergeCell ref="A45:G45"/>
    <mergeCell ref="A46:G46"/>
  </mergeCells>
  <hyperlinks>
    <hyperlink ref="A46" r:id="rId1" xr:uid="{00000000-0004-0000-0A00-000000000000}"/>
  </hyperlinks>
  <printOptions horizontalCentered="1" verticalCentered="1"/>
  <pageMargins left="0.2" right="0.2" top="0.2" bottom="0.2" header="0.2" footer="0.51"/>
  <pageSetup paperSize="9" scale="91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21"/>
  <sheetViews>
    <sheetView showRuler="0" topLeftCell="A3" workbookViewId="0">
      <selection activeCell="F17" sqref="F17"/>
    </sheetView>
  </sheetViews>
  <sheetFormatPr baseColWidth="10" defaultRowHeight="16" x14ac:dyDescent="0.2"/>
  <cols>
    <col min="1" max="1" width="17.5" customWidth="1"/>
    <col min="2" max="2" width="14.33203125" customWidth="1"/>
    <col min="3" max="3" width="14" customWidth="1"/>
    <col min="4" max="5" width="20.6640625" customWidth="1"/>
    <col min="6" max="6" width="10.6640625" customWidth="1"/>
  </cols>
  <sheetData>
    <row r="1" spans="1:6" ht="31" customHeight="1" x14ac:dyDescent="0.25">
      <c r="A1" s="120" t="s">
        <v>63</v>
      </c>
      <c r="B1" s="121" t="s">
        <v>312</v>
      </c>
      <c r="C1" s="33"/>
      <c r="D1" s="33"/>
      <c r="E1" s="121" t="s">
        <v>129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33">
        <v>90878805</v>
      </c>
      <c r="B3" s="28" t="s">
        <v>61</v>
      </c>
      <c r="C3" s="29" t="s">
        <v>79</v>
      </c>
      <c r="D3" s="119">
        <v>0.73499999999999999</v>
      </c>
      <c r="E3" s="40">
        <v>0</v>
      </c>
      <c r="F3" s="40">
        <v>0</v>
      </c>
    </row>
    <row r="4" spans="1:6" ht="31" customHeight="1" x14ac:dyDescent="0.2">
      <c r="A4" s="33">
        <v>90878806</v>
      </c>
      <c r="B4" s="28" t="s">
        <v>55</v>
      </c>
      <c r="C4" s="29" t="s">
        <v>80</v>
      </c>
      <c r="D4" s="119">
        <v>1.7170000000000001</v>
      </c>
      <c r="E4" s="128">
        <v>1845</v>
      </c>
      <c r="F4" s="128">
        <v>1818</v>
      </c>
    </row>
    <row r="5" spans="1:6" ht="31" customHeight="1" x14ac:dyDescent="0.2">
      <c r="A5" s="33">
        <v>90878807</v>
      </c>
      <c r="B5" s="28" t="s">
        <v>69</v>
      </c>
      <c r="C5" s="29" t="s">
        <v>78</v>
      </c>
      <c r="D5" s="119">
        <v>0.75800000000000001</v>
      </c>
      <c r="E5" s="40">
        <v>0</v>
      </c>
      <c r="F5" s="40">
        <v>0</v>
      </c>
    </row>
    <row r="6" spans="1:6" ht="31" customHeight="1" x14ac:dyDescent="0.2">
      <c r="A6" s="33">
        <v>90878808</v>
      </c>
      <c r="B6" s="28" t="s">
        <v>70</v>
      </c>
      <c r="C6" s="29" t="s">
        <v>78</v>
      </c>
      <c r="D6" s="119">
        <v>0.75800000000000001</v>
      </c>
      <c r="E6" s="40">
        <v>0</v>
      </c>
      <c r="F6" s="40">
        <v>0</v>
      </c>
    </row>
    <row r="7" spans="1:6" ht="31" customHeight="1" x14ac:dyDescent="0.2">
      <c r="A7" s="33">
        <v>90878809</v>
      </c>
      <c r="B7" s="28" t="s">
        <v>56</v>
      </c>
      <c r="C7" s="29" t="s">
        <v>79</v>
      </c>
      <c r="D7" s="119">
        <v>0.73499999999999999</v>
      </c>
      <c r="E7" s="40">
        <v>0</v>
      </c>
      <c r="F7" s="40">
        <v>0</v>
      </c>
    </row>
    <row r="8" spans="1:6" ht="31" customHeight="1" x14ac:dyDescent="0.2">
      <c r="A8" s="33">
        <v>90878810</v>
      </c>
      <c r="B8" s="28" t="s">
        <v>64</v>
      </c>
      <c r="C8" s="29" t="s">
        <v>81</v>
      </c>
      <c r="D8" s="119">
        <v>1.335</v>
      </c>
      <c r="E8" s="40">
        <v>1478</v>
      </c>
      <c r="F8" s="40">
        <v>1394</v>
      </c>
    </row>
    <row r="9" spans="1:6" ht="31" customHeight="1" x14ac:dyDescent="0.2">
      <c r="A9" s="33">
        <v>90878811</v>
      </c>
      <c r="B9" s="28" t="s">
        <v>65</v>
      </c>
      <c r="C9" s="29" t="s">
        <v>82</v>
      </c>
      <c r="D9" s="119">
        <v>1.9079999999999999</v>
      </c>
      <c r="E9" s="40">
        <v>2</v>
      </c>
      <c r="F9" s="40">
        <v>0</v>
      </c>
    </row>
    <row r="10" spans="1:6" ht="31" customHeight="1" x14ac:dyDescent="0.2">
      <c r="A10" s="33">
        <v>90878812</v>
      </c>
      <c r="B10" s="28" t="s">
        <v>57</v>
      </c>
      <c r="C10" s="29" t="s">
        <v>83</v>
      </c>
      <c r="D10" s="119">
        <v>0.97499999999999998</v>
      </c>
      <c r="E10" s="40">
        <v>0</v>
      </c>
      <c r="F10" s="40">
        <v>0</v>
      </c>
    </row>
    <row r="11" spans="1:6" ht="31" customHeight="1" x14ac:dyDescent="0.2">
      <c r="A11" s="122"/>
      <c r="B11" s="28"/>
      <c r="C11" s="28"/>
      <c r="D11" s="32"/>
      <c r="E11" s="38"/>
      <c r="F11" s="40"/>
    </row>
    <row r="12" spans="1:6" ht="31" customHeight="1" x14ac:dyDescent="0.2">
      <c r="A12" s="30" t="s">
        <v>31</v>
      </c>
      <c r="B12" s="30" t="s">
        <v>115</v>
      </c>
      <c r="C12" s="32"/>
      <c r="D12" s="32"/>
      <c r="E12" s="32" t="s">
        <v>28</v>
      </c>
      <c r="F12" s="32"/>
    </row>
    <row r="13" spans="1:6" ht="31" customHeight="1" x14ac:dyDescent="0.2">
      <c r="A13" s="122" t="s">
        <v>260</v>
      </c>
      <c r="B13" s="28" t="s">
        <v>55</v>
      </c>
      <c r="C13" s="28" t="s">
        <v>144</v>
      </c>
      <c r="D13" s="28"/>
      <c r="E13" s="124">
        <v>65</v>
      </c>
      <c r="F13" s="124">
        <v>78.531999999999996</v>
      </c>
    </row>
    <row r="14" spans="1:6" ht="31" customHeight="1" x14ac:dyDescent="0.2">
      <c r="A14" s="30" t="s">
        <v>32</v>
      </c>
      <c r="B14" s="30" t="s">
        <v>115</v>
      </c>
      <c r="C14" s="32"/>
      <c r="D14" s="32"/>
      <c r="E14" s="32"/>
      <c r="F14" s="32"/>
    </row>
    <row r="15" spans="1:6" ht="31" customHeight="1" x14ac:dyDescent="0.2">
      <c r="A15" s="126" t="s">
        <v>261</v>
      </c>
      <c r="B15" s="33" t="s">
        <v>55</v>
      </c>
      <c r="C15" s="29" t="s">
        <v>144</v>
      </c>
      <c r="D15" s="34"/>
      <c r="E15" s="124">
        <v>160.69999999999999</v>
      </c>
      <c r="F15" s="124">
        <v>190.977</v>
      </c>
    </row>
    <row r="16" spans="1:6" ht="31" customHeight="1" x14ac:dyDescent="0.2">
      <c r="A16" s="126" t="s">
        <v>262</v>
      </c>
      <c r="B16" s="33" t="s">
        <v>117</v>
      </c>
      <c r="C16" s="29" t="s">
        <v>144</v>
      </c>
      <c r="D16" s="29"/>
      <c r="E16" s="124">
        <v>61.2</v>
      </c>
      <c r="F16" s="124">
        <v>67.47</v>
      </c>
    </row>
    <row r="17" spans="1:6" ht="16" customHeight="1" x14ac:dyDescent="0.2">
      <c r="A17" s="122" t="s">
        <v>27</v>
      </c>
      <c r="B17" s="167" t="s">
        <v>119</v>
      </c>
      <c r="C17" s="167"/>
      <c r="D17" s="28" t="s">
        <v>118</v>
      </c>
      <c r="E17" s="28"/>
      <c r="F17" s="28"/>
    </row>
    <row r="18" spans="1:6" ht="50" customHeight="1" x14ac:dyDescent="0.2">
      <c r="A18" s="125"/>
      <c r="B18" s="167"/>
      <c r="C18" s="167"/>
      <c r="D18" s="167"/>
      <c r="E18" s="167"/>
      <c r="F18" s="167"/>
    </row>
    <row r="20" spans="1:6" x14ac:dyDescent="0.2">
      <c r="C20" s="17"/>
    </row>
    <row r="21" spans="1:6" x14ac:dyDescent="0.2">
      <c r="C21" s="17"/>
    </row>
  </sheetData>
  <mergeCells count="3">
    <mergeCell ref="B17:C17"/>
    <mergeCell ref="B18:C18"/>
    <mergeCell ref="D18:F18"/>
  </mergeCells>
  <phoneticPr fontId="10" type="noConversion"/>
  <printOptions horizontalCentered="1" verticalCentered="1"/>
  <pageMargins left="0.75000000000000011" right="0.75000000000000011" top="1" bottom="1" header="0.5" footer="0.5"/>
  <pageSetup paperSize="9" scale="82" orientation="portrait" horizontalDpi="0" verticalDpi="0" copies="2"/>
  <headerFooter>
    <oddHeader>&amp;A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40"/>
  <sheetViews>
    <sheetView showRuler="0" topLeftCell="A11" workbookViewId="0">
      <selection activeCell="C34" sqref="C34:C35"/>
    </sheetView>
  </sheetViews>
  <sheetFormatPr baseColWidth="10" defaultColWidth="11" defaultRowHeight="16" x14ac:dyDescent="0.2"/>
  <cols>
    <col min="1" max="1" width="13.5" customWidth="1"/>
    <col min="2" max="2" width="14.1640625" customWidth="1"/>
    <col min="4" max="4" width="26.1640625" customWidth="1"/>
    <col min="5" max="5" width="13.5" bestFit="1" customWidth="1"/>
    <col min="6" max="6" width="15.83203125" bestFit="1" customWidth="1"/>
    <col min="7" max="7" width="13.6640625" customWidth="1"/>
  </cols>
  <sheetData>
    <row r="1" spans="1:8" x14ac:dyDescent="0.2">
      <c r="A1" s="6" t="s">
        <v>8</v>
      </c>
      <c r="B1" s="6"/>
      <c r="C1" s="6" t="s">
        <v>19</v>
      </c>
      <c r="D1" s="6" t="s">
        <v>20</v>
      </c>
      <c r="E1" s="112" t="s">
        <v>315</v>
      </c>
    </row>
    <row r="2" spans="1:8" x14ac:dyDescent="0.2">
      <c r="E2" s="2"/>
    </row>
    <row r="3" spans="1:8" x14ac:dyDescent="0.2">
      <c r="A3" s="162" t="s">
        <v>5</v>
      </c>
      <c r="B3" s="162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SUM(Hauptabrechnung!F27*30%)</f>
        <v>948.67439716817694</v>
      </c>
      <c r="D4" s="15">
        <v>414.52</v>
      </c>
      <c r="E4" s="2">
        <f>SUM(C4/D4)</f>
        <v>2.2886094691888861</v>
      </c>
      <c r="F4" s="15">
        <v>73.87</v>
      </c>
      <c r="G4" t="s">
        <v>15</v>
      </c>
      <c r="H4" s="2">
        <f>SUM(E4*F4)</f>
        <v>169.05958148898301</v>
      </c>
    </row>
    <row r="5" spans="1:8" x14ac:dyDescent="0.2">
      <c r="A5" t="s">
        <v>12</v>
      </c>
      <c r="C5" s="2">
        <f>SUM(Hauptabrechnung!F27*70%)</f>
        <v>2213.5735933924129</v>
      </c>
      <c r="D5" s="36">
        <f>VALUE(Hauptabrechnung!D48)</f>
        <v>17664.22</v>
      </c>
      <c r="E5" s="2">
        <f>SUM(C5/D5)</f>
        <v>0.1253139732970045</v>
      </c>
      <c r="F5" s="36">
        <f>VALUE(H28)</f>
        <v>3339.538</v>
      </c>
      <c r="G5" t="s">
        <v>67</v>
      </c>
      <c r="H5" s="2">
        <f>SUM(E5*F5)</f>
        <v>418.4907757563318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62" t="s">
        <v>1</v>
      </c>
      <c r="B7" s="162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SUM(Hauptabrechnung!F33*30%)</f>
        <v>366.70126919893301</v>
      </c>
      <c r="D8" s="15">
        <v>414.52</v>
      </c>
      <c r="E8" s="2">
        <f>SUM(C8/D8)</f>
        <v>0.88464071504133224</v>
      </c>
      <c r="F8" s="15">
        <v>73.87</v>
      </c>
      <c r="G8" t="s">
        <v>15</v>
      </c>
      <c r="H8" s="2">
        <f>SUM(E8*F8)</f>
        <v>65.348409620103212</v>
      </c>
    </row>
    <row r="9" spans="1:8" x14ac:dyDescent="0.2">
      <c r="A9" t="s">
        <v>12</v>
      </c>
      <c r="C9" s="2">
        <f>SUM(Hauptabrechnung!F33*70%)</f>
        <v>855.63629479751035</v>
      </c>
      <c r="D9" s="15">
        <f>VALUE(Hauptabrechnung!D52)</f>
        <v>75.512</v>
      </c>
      <c r="E9" s="2">
        <f>SUM(C9/D9)</f>
        <v>11.331130082602902</v>
      </c>
      <c r="F9" s="15">
        <f>VALUE(H32)</f>
        <v>8.3819999999999979</v>
      </c>
      <c r="G9" t="s">
        <v>68</v>
      </c>
      <c r="H9" s="2">
        <f>SUM(E9*F9)</f>
        <v>94.977532352377509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62" t="s">
        <v>4</v>
      </c>
      <c r="B11" s="162"/>
      <c r="C11" s="2">
        <f>SUM(Hauptabrechnung!C54)</f>
        <v>1307.9544454429661</v>
      </c>
      <c r="D11" s="15">
        <f>VALUE(Hauptabrechnung!B15)</f>
        <v>193.77500000000003</v>
      </c>
      <c r="E11" s="2">
        <f>SUM(C11/D11)</f>
        <v>6.7498616717479853</v>
      </c>
      <c r="F11" s="15">
        <f>VALUE(H37)</f>
        <v>27.204999999999984</v>
      </c>
      <c r="G11" t="s">
        <v>68</v>
      </c>
      <c r="H11" s="2">
        <f>SUM(E11*F11)</f>
        <v>183.62998677990385</v>
      </c>
    </row>
    <row r="12" spans="1:8" x14ac:dyDescent="0.2">
      <c r="A12" t="s">
        <v>278</v>
      </c>
    </row>
    <row r="13" spans="1:8" x14ac:dyDescent="0.2">
      <c r="A13" s="162" t="s">
        <v>3</v>
      </c>
      <c r="B13" s="162"/>
      <c r="C13" s="2">
        <f>SUM(C4:C11)</f>
        <v>5692.5399999999991</v>
      </c>
      <c r="H13" s="2">
        <f>SUM(H4+H5+H8+H9+H11)</f>
        <v>931.50628599769925</v>
      </c>
    </row>
    <row r="14" spans="1:8" x14ac:dyDescent="0.2">
      <c r="A14" s="162" t="s">
        <v>122</v>
      </c>
      <c r="B14" s="162"/>
      <c r="H14" s="2">
        <f>VALUE([1]Ballestriero!$H$13)</f>
        <v>953.19877956548567</v>
      </c>
    </row>
    <row r="15" spans="1:8" x14ac:dyDescent="0.2">
      <c r="A15" s="162" t="s">
        <v>24</v>
      </c>
      <c r="B15" s="162"/>
      <c r="H15" s="2">
        <f>SUM(H13-H14)</f>
        <v>-21.692493567786414</v>
      </c>
    </row>
    <row r="19" spans="1:9" s="21" customFormat="1" x14ac:dyDescent="0.2">
      <c r="A19" s="54" t="s">
        <v>25</v>
      </c>
      <c r="B19" s="51"/>
      <c r="C19" s="51" t="s">
        <v>27</v>
      </c>
      <c r="D19" s="51" t="s">
        <v>54</v>
      </c>
      <c r="E19" s="51" t="s">
        <v>114</v>
      </c>
      <c r="F19" s="51"/>
      <c r="G19" s="51" t="s">
        <v>29</v>
      </c>
      <c r="H19" s="51" t="s">
        <v>30</v>
      </c>
    </row>
    <row r="20" spans="1:9" x14ac:dyDescent="0.2">
      <c r="A20" s="63">
        <v>90878797</v>
      </c>
      <c r="B20" t="s">
        <v>61</v>
      </c>
      <c r="C20" s="17"/>
      <c r="D20" t="s">
        <v>79</v>
      </c>
      <c r="E20" s="64">
        <v>0.73499999999999999</v>
      </c>
      <c r="F20" s="36"/>
      <c r="G20" s="36">
        <f>VALUE('Ablesung Ballestriero'!F3)</f>
        <v>1660</v>
      </c>
      <c r="H20" s="36">
        <f t="shared" ref="H20:H27" si="0">SUM(E20*G20)</f>
        <v>1220.0999999999999</v>
      </c>
    </row>
    <row r="21" spans="1:9" x14ac:dyDescent="0.2">
      <c r="A21" s="63">
        <v>90878798</v>
      </c>
      <c r="B21" t="s">
        <v>69</v>
      </c>
      <c r="C21" s="17"/>
      <c r="D21" t="s">
        <v>97</v>
      </c>
      <c r="E21" s="64">
        <v>1.2729999999999999</v>
      </c>
      <c r="F21" s="36"/>
      <c r="G21" s="36">
        <f>VALUE('Ablesung Ballestriero'!F4)</f>
        <v>0</v>
      </c>
      <c r="H21" s="36">
        <f t="shared" si="0"/>
        <v>0</v>
      </c>
    </row>
    <row r="22" spans="1:9" x14ac:dyDescent="0.2">
      <c r="A22" s="63">
        <v>90878799</v>
      </c>
      <c r="B22" t="s">
        <v>64</v>
      </c>
      <c r="C22" s="17"/>
      <c r="D22" t="s">
        <v>142</v>
      </c>
      <c r="E22" s="64">
        <v>2.016</v>
      </c>
      <c r="F22" s="36"/>
      <c r="G22" s="36">
        <f>VALUE('Ablesung Ballestriero'!F5)</f>
        <v>680</v>
      </c>
      <c r="H22" s="36">
        <f t="shared" si="0"/>
        <v>1370.88</v>
      </c>
    </row>
    <row r="23" spans="1:9" x14ac:dyDescent="0.2">
      <c r="A23" s="63">
        <v>90878800</v>
      </c>
      <c r="B23" t="s">
        <v>65</v>
      </c>
      <c r="C23" s="17"/>
      <c r="D23" t="s">
        <v>143</v>
      </c>
      <c r="E23" s="64">
        <v>0.67900000000000005</v>
      </c>
      <c r="F23" s="36"/>
      <c r="G23" s="36">
        <f>VALUE('Ablesung Ballestriero'!F6)</f>
        <v>0</v>
      </c>
      <c r="H23" s="36">
        <f t="shared" si="0"/>
        <v>0</v>
      </c>
    </row>
    <row r="24" spans="1:9" x14ac:dyDescent="0.2">
      <c r="A24" s="63">
        <v>90878801</v>
      </c>
      <c r="B24" t="s">
        <v>66</v>
      </c>
      <c r="C24" s="17"/>
      <c r="D24" t="s">
        <v>99</v>
      </c>
      <c r="E24" s="64">
        <v>2.0979999999999999</v>
      </c>
      <c r="F24" s="36"/>
      <c r="G24" s="36">
        <f>VALUE('Ablesung Ballestriero'!F7)</f>
        <v>142</v>
      </c>
      <c r="H24" s="36">
        <f t="shared" si="0"/>
        <v>297.916</v>
      </c>
    </row>
    <row r="25" spans="1:9" x14ac:dyDescent="0.2">
      <c r="A25" s="63">
        <v>90878802</v>
      </c>
      <c r="B25" t="s">
        <v>56</v>
      </c>
      <c r="C25" s="17"/>
      <c r="D25" t="s">
        <v>90</v>
      </c>
      <c r="E25" s="64">
        <v>0.95399999999999996</v>
      </c>
      <c r="F25" s="36"/>
      <c r="G25" s="36">
        <f>VALUE('Ablesung Ballestriero'!F8)</f>
        <v>0</v>
      </c>
      <c r="H25" s="36">
        <f t="shared" si="0"/>
        <v>0</v>
      </c>
    </row>
    <row r="26" spans="1:9" x14ac:dyDescent="0.2">
      <c r="A26" s="63">
        <v>90878803</v>
      </c>
      <c r="B26" t="s">
        <v>55</v>
      </c>
      <c r="C26" s="17"/>
      <c r="D26" s="132" t="s">
        <v>97</v>
      </c>
      <c r="E26" s="64">
        <v>1.2729999999999999</v>
      </c>
      <c r="F26" s="36"/>
      <c r="G26" s="36">
        <f>VALUE('Ablesung Ballestriero'!F9)</f>
        <v>354</v>
      </c>
      <c r="H26" s="36">
        <f t="shared" si="0"/>
        <v>450.642</v>
      </c>
    </row>
    <row r="27" spans="1:9" x14ac:dyDescent="0.2">
      <c r="A27" s="63">
        <v>90878804</v>
      </c>
      <c r="B27" t="s">
        <v>57</v>
      </c>
      <c r="C27" s="17"/>
      <c r="D27" t="s">
        <v>81</v>
      </c>
      <c r="E27" s="64">
        <v>1.335</v>
      </c>
      <c r="F27" s="36"/>
      <c r="G27" s="36">
        <f>VALUE('Ablesung Ballestriero'!F10)</f>
        <v>0</v>
      </c>
      <c r="H27" s="36">
        <f t="shared" si="0"/>
        <v>0</v>
      </c>
    </row>
    <row r="28" spans="1:9" x14ac:dyDescent="0.2">
      <c r="A28" s="12" t="s">
        <v>30</v>
      </c>
      <c r="C28" s="10"/>
      <c r="E28" s="41"/>
      <c r="F28" s="36"/>
      <c r="G28" s="47" t="s">
        <v>35</v>
      </c>
      <c r="H28" s="36">
        <f>SUM(H20+H21+H22+H23+H24+H25+H26+H27)</f>
        <v>3339.538</v>
      </c>
      <c r="I28" s="41"/>
    </row>
    <row r="29" spans="1:9" x14ac:dyDescent="0.2">
      <c r="A29" s="12"/>
      <c r="C29" s="10"/>
      <c r="F29" s="3"/>
    </row>
    <row r="30" spans="1:9" s="21" customFormat="1" x14ac:dyDescent="0.2">
      <c r="A30" s="50" t="s">
        <v>31</v>
      </c>
      <c r="C30" s="55" t="s">
        <v>27</v>
      </c>
      <c r="D30" s="51" t="s">
        <v>131</v>
      </c>
      <c r="E30" s="51" t="s">
        <v>114</v>
      </c>
      <c r="F30" s="51" t="s">
        <v>28</v>
      </c>
      <c r="G30" s="56" t="s">
        <v>29</v>
      </c>
      <c r="H30" s="51" t="s">
        <v>30</v>
      </c>
    </row>
    <row r="31" spans="1:9" x14ac:dyDescent="0.2">
      <c r="A31" s="12" t="s">
        <v>39</v>
      </c>
      <c r="B31" t="s">
        <v>26</v>
      </c>
      <c r="C31" s="17"/>
      <c r="D31" t="s">
        <v>133</v>
      </c>
      <c r="E31" s="41">
        <v>1</v>
      </c>
      <c r="F31" s="41">
        <f>VALUE('Ablesung Ballestriero'!E13)</f>
        <v>41.2</v>
      </c>
      <c r="G31" s="41">
        <f>VALUE('Ablesung Ballestriero'!F13)</f>
        <v>49.582000000000001</v>
      </c>
      <c r="H31" s="41">
        <f>SUM(G31-F31)</f>
        <v>8.3819999999999979</v>
      </c>
    </row>
    <row r="32" spans="1:9" x14ac:dyDescent="0.2">
      <c r="A32" s="12"/>
      <c r="C32" s="10"/>
      <c r="E32" s="41"/>
      <c r="F32" s="41"/>
      <c r="G32" s="43" t="s">
        <v>35</v>
      </c>
      <c r="H32" s="41">
        <f>SUM(H31)</f>
        <v>8.3819999999999979</v>
      </c>
    </row>
    <row r="33" spans="1:8" x14ac:dyDescent="0.2">
      <c r="A33" s="12"/>
      <c r="C33" s="10"/>
      <c r="E33" s="41"/>
      <c r="F33" s="41"/>
      <c r="G33" s="41"/>
      <c r="H33" s="41"/>
    </row>
    <row r="34" spans="1:8" s="21" customFormat="1" x14ac:dyDescent="0.2">
      <c r="A34" s="50" t="s">
        <v>32</v>
      </c>
      <c r="C34" s="55" t="s">
        <v>27</v>
      </c>
      <c r="D34" s="51" t="s">
        <v>132</v>
      </c>
      <c r="E34" s="57" t="s">
        <v>114</v>
      </c>
      <c r="F34" s="57" t="s">
        <v>28</v>
      </c>
      <c r="G34" s="57" t="s">
        <v>29</v>
      </c>
      <c r="H34" s="57" t="s">
        <v>30</v>
      </c>
    </row>
    <row r="35" spans="1:8" x14ac:dyDescent="0.2">
      <c r="A35" s="12" t="s">
        <v>40</v>
      </c>
      <c r="B35" t="s">
        <v>26</v>
      </c>
      <c r="C35" s="17"/>
      <c r="D35" t="s">
        <v>133</v>
      </c>
      <c r="E35" s="41">
        <v>1</v>
      </c>
      <c r="F35" s="41">
        <f>VALUE('Ablesung Ballestriero'!E15)</f>
        <v>150.4</v>
      </c>
      <c r="G35" s="41">
        <f>VALUE('Ablesung Ballestriero'!F15)</f>
        <v>176.12299999999999</v>
      </c>
      <c r="H35" s="41">
        <f>SUM(G35-F35)</f>
        <v>25.722999999999985</v>
      </c>
    </row>
    <row r="36" spans="1:8" x14ac:dyDescent="0.2">
      <c r="A36" s="12" t="s">
        <v>41</v>
      </c>
      <c r="B36" t="s">
        <v>34</v>
      </c>
      <c r="C36" s="17"/>
      <c r="D36" t="s">
        <v>133</v>
      </c>
      <c r="E36" s="41">
        <v>1</v>
      </c>
      <c r="F36" s="41">
        <f>VALUE('Ablesung Ballestriero'!E16)</f>
        <v>12.5</v>
      </c>
      <c r="G36" s="41">
        <f>VALUE('Ablesung Ballestriero'!F16)</f>
        <v>13.981999999999999</v>
      </c>
      <c r="H36" s="41">
        <f>SUM(G36-F36)</f>
        <v>1.4819999999999993</v>
      </c>
    </row>
    <row r="37" spans="1:8" x14ac:dyDescent="0.2">
      <c r="A37" s="12"/>
      <c r="C37" s="10"/>
      <c r="E37" s="41"/>
      <c r="F37" s="41"/>
      <c r="G37" s="43" t="s">
        <v>35</v>
      </c>
      <c r="H37" s="41">
        <f>SUM(H35+H36)</f>
        <v>27.204999999999984</v>
      </c>
    </row>
    <row r="38" spans="1:8" x14ac:dyDescent="0.2">
      <c r="A38" s="12"/>
      <c r="C38" s="10"/>
      <c r="F38" s="3"/>
    </row>
    <row r="39" spans="1:8" x14ac:dyDescent="0.2">
      <c r="A39" s="12"/>
      <c r="C39" s="10"/>
      <c r="F39" s="3"/>
    </row>
    <row r="40" spans="1:8" x14ac:dyDescent="0.2">
      <c r="A40" s="12"/>
      <c r="C40" s="10"/>
      <c r="F40" s="3"/>
    </row>
  </sheetData>
  <mergeCells count="6">
    <mergeCell ref="A15:B15"/>
    <mergeCell ref="A3:B3"/>
    <mergeCell ref="A7:B7"/>
    <mergeCell ref="A11:B11"/>
    <mergeCell ref="A13:B13"/>
    <mergeCell ref="A14:B14"/>
  </mergeCells>
  <phoneticPr fontId="3" type="noConversion"/>
  <printOptions horizontalCentered="1" verticalCentered="1"/>
  <pageMargins left="0.2" right="0.2" top="0.2" bottom="0.2" header="0.2" footer="0.51"/>
  <pageSetup paperSize="9" scale="7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G222"/>
  <sheetViews>
    <sheetView showRuler="0" topLeftCell="A6" workbookViewId="0">
      <selection activeCell="C33" sqref="C33"/>
    </sheetView>
  </sheetViews>
  <sheetFormatPr baseColWidth="10" defaultRowHeight="13" x14ac:dyDescent="0.15"/>
  <cols>
    <col min="1" max="1" width="26.33203125" style="70" customWidth="1"/>
    <col min="2" max="2" width="8.5" style="71" customWidth="1"/>
    <col min="3" max="3" width="10.83203125" style="72"/>
    <col min="4" max="4" width="9.33203125" style="72" customWidth="1"/>
    <col min="5" max="5" width="19.5" style="70" customWidth="1"/>
    <col min="6" max="6" width="9.1640625" style="70" customWidth="1"/>
    <col min="7" max="7" width="17.1640625" style="71" customWidth="1"/>
    <col min="8" max="16384" width="10.83203125" style="72"/>
  </cols>
  <sheetData>
    <row r="1" spans="1:7" s="69" customFormat="1" ht="16" x14ac:dyDescent="0.2">
      <c r="A1" s="163" t="s">
        <v>196</v>
      </c>
      <c r="B1" s="163"/>
      <c r="C1" s="163"/>
      <c r="D1" s="163"/>
      <c r="E1" s="163"/>
      <c r="F1" s="163"/>
      <c r="G1" s="163"/>
    </row>
    <row r="2" spans="1:7" ht="36.75" customHeight="1" x14ac:dyDescent="0.15"/>
    <row r="3" spans="1:7" s="76" customFormat="1" ht="56" x14ac:dyDescent="0.15">
      <c r="A3" s="74" t="s">
        <v>231</v>
      </c>
      <c r="B3" s="75"/>
      <c r="E3" s="74"/>
      <c r="F3" s="74"/>
      <c r="G3" s="77">
        <f ca="1">TODAY()</f>
        <v>46119</v>
      </c>
    </row>
    <row r="4" spans="1:7" s="78" customFormat="1" ht="24.75" customHeight="1" x14ac:dyDescent="0.25">
      <c r="A4" s="164" t="s">
        <v>313</v>
      </c>
      <c r="B4" s="164"/>
      <c r="C4" s="164"/>
      <c r="D4" s="164"/>
      <c r="E4" s="164"/>
      <c r="F4" s="164"/>
      <c r="G4" s="164"/>
    </row>
    <row r="5" spans="1:7" s="69" customFormat="1" ht="21" customHeight="1" x14ac:dyDescent="0.15">
      <c r="A5" s="79" t="s">
        <v>232</v>
      </c>
      <c r="B5" s="80"/>
      <c r="E5" s="79"/>
      <c r="F5" s="79" t="s">
        <v>309</v>
      </c>
      <c r="G5" s="81" t="s">
        <v>314</v>
      </c>
    </row>
    <row r="6" spans="1:7" s="84" customFormat="1" ht="14.25" customHeight="1" x14ac:dyDescent="0.2">
      <c r="A6" s="82" t="s">
        <v>280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204</v>
      </c>
    </row>
    <row r="8" spans="1:7" x14ac:dyDescent="0.15">
      <c r="D8" s="72" t="s">
        <v>205</v>
      </c>
      <c r="F8" s="70" t="s">
        <v>205</v>
      </c>
      <c r="G8" s="73"/>
    </row>
    <row r="9" spans="1:7" s="88" customFormat="1" x14ac:dyDescent="0.2">
      <c r="A9" s="86" t="s">
        <v>280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2025'!I19)</f>
        <v>2400</v>
      </c>
      <c r="D10" s="90">
        <v>6</v>
      </c>
      <c r="E10" s="70" t="s">
        <v>207</v>
      </c>
      <c r="F10" s="91" t="s">
        <v>208</v>
      </c>
      <c r="G10" s="92">
        <f>SUM(C10/D10*F10)</f>
        <v>400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5692.54</v>
      </c>
      <c r="D12" s="90">
        <v>1</v>
      </c>
      <c r="E12" s="70" t="s">
        <v>210</v>
      </c>
      <c r="F12" s="91" t="s">
        <v>208</v>
      </c>
      <c r="G12" s="92">
        <f>VALUE(Ballestriero!$H$13)</f>
        <v>931.50628599769925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SUM(C15+C16+C17)</f>
        <v>404.76</v>
      </c>
      <c r="D14" s="90">
        <v>6</v>
      </c>
      <c r="E14" s="70" t="s">
        <v>207</v>
      </c>
      <c r="F14" s="91" t="s">
        <v>208</v>
      </c>
      <c r="G14" s="92">
        <f>SUM(C14/D14*F14)</f>
        <v>67.459999999999994</v>
      </c>
    </row>
    <row r="15" spans="1:7" x14ac:dyDescent="0.15">
      <c r="A15" s="70" t="s">
        <v>212</v>
      </c>
      <c r="C15" s="93">
        <f>VALUE('Zahlungen 2025'!D42)</f>
        <v>99.81</v>
      </c>
      <c r="D15" s="90"/>
      <c r="F15" s="91"/>
      <c r="G15" s="92"/>
    </row>
    <row r="16" spans="1:7" x14ac:dyDescent="0.15">
      <c r="A16" s="70" t="s">
        <v>213</v>
      </c>
      <c r="C16" s="93">
        <f>VALUE('Zahlungen 2025'!I42)</f>
        <v>304.95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2025'!B42)</f>
        <v>526.29999999999995</v>
      </c>
      <c r="D18" s="90">
        <v>6</v>
      </c>
      <c r="E18" s="70" t="s">
        <v>207</v>
      </c>
      <c r="F18" s="91" t="s">
        <v>208</v>
      </c>
      <c r="G18" s="92">
        <f>SUM(C18/D18*F18)</f>
        <v>87.716666666666654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2025'!F42)</f>
        <v>496.8</v>
      </c>
      <c r="D20" s="90">
        <v>10</v>
      </c>
      <c r="E20" s="70" t="s">
        <v>227</v>
      </c>
      <c r="F20" s="91" t="s">
        <v>228</v>
      </c>
      <c r="G20" s="92">
        <f t="shared" ref="G20" si="0">SUM(C20/D20*F20)</f>
        <v>99.36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C23" s="71"/>
      <c r="D23" s="90"/>
      <c r="F23" s="91"/>
      <c r="G23" s="92"/>
    </row>
    <row r="24" spans="1:7" x14ac:dyDescent="0.15">
      <c r="C24" s="71"/>
      <c r="D24" s="90"/>
      <c r="F24" s="91"/>
      <c r="G24" s="92"/>
    </row>
    <row r="25" spans="1:7" x14ac:dyDescent="0.15">
      <c r="A25" s="79" t="s">
        <v>217</v>
      </c>
      <c r="B25" s="80"/>
      <c r="C25" s="71">
        <f>SUM(C26+C27)</f>
        <v>1787.29</v>
      </c>
      <c r="D25" s="90">
        <v>6</v>
      </c>
      <c r="E25" s="70" t="s">
        <v>218</v>
      </c>
      <c r="F25" s="91" t="s">
        <v>208</v>
      </c>
      <c r="G25" s="92">
        <f>SUM(C25/D25*F25)</f>
        <v>297.88166666666666</v>
      </c>
    </row>
    <row r="26" spans="1:7" x14ac:dyDescent="0.15">
      <c r="A26" s="70" t="s">
        <v>219</v>
      </c>
      <c r="C26" s="71">
        <f>VALUE('Zahlungen 2025'!C24)</f>
        <v>1726.84</v>
      </c>
      <c r="D26" s="90"/>
      <c r="F26" s="91"/>
      <c r="G26" s="92"/>
    </row>
    <row r="27" spans="1:7" x14ac:dyDescent="0.15">
      <c r="A27" s="70" t="s">
        <v>220</v>
      </c>
      <c r="C27" s="71">
        <f>VALUE('Zahlungen 2025'!C23)</f>
        <v>60.45</v>
      </c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216</v>
      </c>
      <c r="C29" s="71">
        <f>VALUE('Zahlungen 2025'!H42)</f>
        <v>50</v>
      </c>
      <c r="D29" s="90">
        <v>6</v>
      </c>
      <c r="E29" s="70" t="s">
        <v>207</v>
      </c>
      <c r="F29" s="91" t="s">
        <v>208</v>
      </c>
      <c r="G29" s="92">
        <f>C29/D29</f>
        <v>8.3333333333333339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222</v>
      </c>
      <c r="C31" s="71">
        <f>VALUE('Zahlungen 2025'!J42)</f>
        <v>0</v>
      </c>
      <c r="D31" s="90">
        <v>6</v>
      </c>
      <c r="E31" s="70" t="s">
        <v>207</v>
      </c>
      <c r="F31" s="91" t="s">
        <v>208</v>
      </c>
      <c r="G31" s="92">
        <f>SUM(C31/D31*F31)</f>
        <v>0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221</v>
      </c>
      <c r="C33" s="71">
        <f>VALUE('Zahlungen 2025'!E42)</f>
        <v>172.95000000000002</v>
      </c>
      <c r="D33" s="90">
        <v>6</v>
      </c>
      <c r="E33" s="70" t="s">
        <v>207</v>
      </c>
      <c r="F33" s="91" t="s">
        <v>208</v>
      </c>
      <c r="G33" s="92">
        <f>SUM(C33/D33*F33)</f>
        <v>28.825000000000003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302</v>
      </c>
      <c r="C35" s="71">
        <f>VALUE('Zahlungen 2025'!J19)</f>
        <v>6000</v>
      </c>
      <c r="D35" s="90">
        <v>6</v>
      </c>
      <c r="E35" s="70" t="s">
        <v>207</v>
      </c>
      <c r="F35" s="91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s="69" customFormat="1" x14ac:dyDescent="0.15">
      <c r="A37" s="79" t="s">
        <v>3</v>
      </c>
      <c r="B37" s="71"/>
      <c r="C37" s="71">
        <f>SUM(C10+C12+C35+C14+C18+C20+C25+C29+C31+C33)</f>
        <v>17530.64</v>
      </c>
      <c r="D37" s="90"/>
      <c r="E37" s="70"/>
      <c r="F37" s="91"/>
      <c r="G37" s="92">
        <f>SUM(G10+G12+G14+G18+G20+G21+G22+G25+G29+G31+G33+G35)</f>
        <v>2921.0829526643656</v>
      </c>
    </row>
    <row r="38" spans="1:7" x14ac:dyDescent="0.15">
      <c r="A38" s="79" t="s">
        <v>199</v>
      </c>
      <c r="B38" s="80"/>
      <c r="C38" s="80"/>
      <c r="D38" s="94"/>
      <c r="E38" s="79"/>
      <c r="F38" s="95"/>
      <c r="G38" s="96"/>
    </row>
    <row r="39" spans="1:7" x14ac:dyDescent="0.15">
      <c r="D39" s="90"/>
      <c r="F39" s="91"/>
      <c r="G39" s="92"/>
    </row>
    <row r="40" spans="1:7" x14ac:dyDescent="0.15">
      <c r="A40" s="70" t="s">
        <v>311</v>
      </c>
      <c r="C40" s="71"/>
      <c r="D40" s="90"/>
      <c r="G40" s="93">
        <f>VALUE('Zahlungen 2025'!E19)</f>
        <v>2520</v>
      </c>
    </row>
    <row r="41" spans="1:7" x14ac:dyDescent="0.15">
      <c r="A41" s="86" t="s">
        <v>199</v>
      </c>
      <c r="B41" s="87"/>
      <c r="C41" s="87"/>
      <c r="D41" s="88"/>
      <c r="E41" s="86"/>
      <c r="F41" s="86"/>
      <c r="G41" s="92"/>
    </row>
    <row r="42" spans="1:7" x14ac:dyDescent="0.15">
      <c r="A42" s="79" t="s">
        <v>223</v>
      </c>
      <c r="C42" s="71"/>
      <c r="D42" s="90"/>
      <c r="E42" s="70" t="s">
        <v>297</v>
      </c>
      <c r="G42" s="97">
        <f>SUM(G40-G37)</f>
        <v>-401.08295266436562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x14ac:dyDescent="0.15">
      <c r="G44" s="73"/>
    </row>
    <row r="45" spans="1:7" x14ac:dyDescent="0.15">
      <c r="A45" s="165" t="s">
        <v>239</v>
      </c>
      <c r="B45" s="165"/>
      <c r="C45" s="165"/>
      <c r="D45" s="165"/>
      <c r="E45" s="165"/>
      <c r="F45" s="165"/>
      <c r="G45" s="165"/>
    </row>
    <row r="46" spans="1:7" x14ac:dyDescent="0.15">
      <c r="A46" s="166" t="s">
        <v>224</v>
      </c>
      <c r="B46" s="166"/>
      <c r="C46" s="166"/>
      <c r="D46" s="166"/>
      <c r="E46" s="166"/>
      <c r="F46" s="166"/>
      <c r="G46" s="166"/>
    </row>
    <row r="47" spans="1:7" x14ac:dyDescent="0.15">
      <c r="C47" s="71"/>
    </row>
    <row r="48" spans="1:7" x14ac:dyDescent="0.15">
      <c r="C48" s="71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</sheetData>
  <mergeCells count="4">
    <mergeCell ref="A1:G1"/>
    <mergeCell ref="A4:G4"/>
    <mergeCell ref="A45:G45"/>
    <mergeCell ref="A46:G46"/>
  </mergeCells>
  <hyperlinks>
    <hyperlink ref="A46" r:id="rId1" xr:uid="{00000000-0004-0000-0D00-000000000000}"/>
  </hyperlinks>
  <printOptions horizontalCentered="1" verticalCentered="1"/>
  <pageMargins left="0.2" right="0.2" top="0.2" bottom="0.2" header="0.2" footer="0.51"/>
  <pageSetup paperSize="9" scale="93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1"/>
  <sheetViews>
    <sheetView showRuler="0" workbookViewId="0">
      <selection activeCell="F17" sqref="F17"/>
    </sheetView>
  </sheetViews>
  <sheetFormatPr baseColWidth="10" defaultRowHeight="16" x14ac:dyDescent="0.2"/>
  <cols>
    <col min="1" max="1" width="17.5" customWidth="1"/>
    <col min="2" max="2" width="13.83203125" customWidth="1"/>
    <col min="3" max="3" width="15.5" customWidth="1"/>
    <col min="4" max="5" width="20.6640625" customWidth="1"/>
    <col min="6" max="6" width="10.6640625" customWidth="1"/>
  </cols>
  <sheetData>
    <row r="1" spans="1:6" ht="31" customHeight="1" x14ac:dyDescent="0.25">
      <c r="A1" s="120" t="s">
        <v>20</v>
      </c>
      <c r="B1" s="121" t="s">
        <v>312</v>
      </c>
      <c r="C1" s="33"/>
      <c r="D1" s="33"/>
      <c r="E1" s="121" t="s">
        <v>128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33">
        <v>90878797</v>
      </c>
      <c r="B3" s="33" t="s">
        <v>61</v>
      </c>
      <c r="C3" s="33" t="s">
        <v>79</v>
      </c>
      <c r="D3" s="119">
        <v>0.73499999999999999</v>
      </c>
      <c r="E3" s="40">
        <v>1452</v>
      </c>
      <c r="F3" s="40">
        <v>1660</v>
      </c>
    </row>
    <row r="4" spans="1:6" ht="31" customHeight="1" x14ac:dyDescent="0.2">
      <c r="A4" s="33">
        <v>90878798</v>
      </c>
      <c r="B4" s="33" t="s">
        <v>69</v>
      </c>
      <c r="C4" s="33" t="s">
        <v>97</v>
      </c>
      <c r="D4" s="119">
        <v>1.2729999999999999</v>
      </c>
      <c r="E4" s="40">
        <v>0</v>
      </c>
      <c r="F4" s="40">
        <v>0</v>
      </c>
    </row>
    <row r="5" spans="1:6" ht="31" customHeight="1" x14ac:dyDescent="0.2">
      <c r="A5" s="33">
        <v>90878799</v>
      </c>
      <c r="B5" s="33" t="s">
        <v>64</v>
      </c>
      <c r="C5" s="33" t="s">
        <v>98</v>
      </c>
      <c r="D5" s="119">
        <v>2.016</v>
      </c>
      <c r="E5" s="40">
        <v>900</v>
      </c>
      <c r="F5" s="40">
        <v>680</v>
      </c>
    </row>
    <row r="6" spans="1:6" ht="31" customHeight="1" x14ac:dyDescent="0.2">
      <c r="A6" s="33">
        <v>90878800</v>
      </c>
      <c r="B6" s="33" t="s">
        <v>65</v>
      </c>
      <c r="C6" s="33" t="s">
        <v>91</v>
      </c>
      <c r="D6" s="119">
        <v>0.67900000000000005</v>
      </c>
      <c r="E6" s="40">
        <v>0</v>
      </c>
      <c r="F6" s="40">
        <v>0</v>
      </c>
    </row>
    <row r="7" spans="1:6" ht="31" customHeight="1" x14ac:dyDescent="0.2">
      <c r="A7" s="33">
        <v>90878801</v>
      </c>
      <c r="B7" s="33" t="s">
        <v>66</v>
      </c>
      <c r="C7" s="33" t="s">
        <v>99</v>
      </c>
      <c r="D7" s="119">
        <v>2.0979999999999999</v>
      </c>
      <c r="E7" s="40">
        <v>4</v>
      </c>
      <c r="F7" s="40">
        <v>142</v>
      </c>
    </row>
    <row r="8" spans="1:6" ht="31" customHeight="1" x14ac:dyDescent="0.2">
      <c r="A8" s="33">
        <v>90878802</v>
      </c>
      <c r="B8" s="33" t="s">
        <v>56</v>
      </c>
      <c r="C8" s="33" t="s">
        <v>90</v>
      </c>
      <c r="D8" s="119">
        <v>0.95399999999999996</v>
      </c>
      <c r="E8" s="40">
        <v>0</v>
      </c>
      <c r="F8" s="40">
        <v>0</v>
      </c>
    </row>
    <row r="9" spans="1:6" ht="31" customHeight="1" x14ac:dyDescent="0.2">
      <c r="A9" s="133" t="s">
        <v>288</v>
      </c>
      <c r="B9" s="33" t="s">
        <v>55</v>
      </c>
      <c r="C9" s="33" t="s">
        <v>97</v>
      </c>
      <c r="D9" s="119">
        <v>1.2729999999999999</v>
      </c>
      <c r="E9" s="40">
        <v>438</v>
      </c>
      <c r="F9" s="40">
        <v>354</v>
      </c>
    </row>
    <row r="10" spans="1:6" ht="31" customHeight="1" x14ac:dyDescent="0.2">
      <c r="A10" s="33">
        <v>90878804</v>
      </c>
      <c r="B10" s="33" t="s">
        <v>57</v>
      </c>
      <c r="C10" s="33" t="s">
        <v>81</v>
      </c>
      <c r="D10" s="119">
        <v>1.335</v>
      </c>
      <c r="E10" s="40">
        <v>0</v>
      </c>
      <c r="F10" s="40">
        <v>0</v>
      </c>
    </row>
    <row r="11" spans="1:6" ht="31" customHeight="1" x14ac:dyDescent="0.2">
      <c r="A11" s="122"/>
      <c r="B11" s="28"/>
      <c r="C11" s="28"/>
      <c r="D11" s="32"/>
      <c r="E11" s="38"/>
      <c r="F11" s="40"/>
    </row>
    <row r="12" spans="1:6" ht="31" customHeight="1" x14ac:dyDescent="0.2">
      <c r="A12" s="30" t="s">
        <v>31</v>
      </c>
      <c r="B12" s="30" t="s">
        <v>115</v>
      </c>
      <c r="C12" s="31"/>
      <c r="D12" s="32"/>
      <c r="E12" s="32" t="s">
        <v>28</v>
      </c>
      <c r="F12" s="32"/>
    </row>
    <row r="13" spans="1:6" ht="31" customHeight="1" x14ac:dyDescent="0.2">
      <c r="A13" s="122" t="s">
        <v>263</v>
      </c>
      <c r="B13" s="28" t="s">
        <v>55</v>
      </c>
      <c r="C13" s="29" t="s">
        <v>144</v>
      </c>
      <c r="D13" s="28"/>
      <c r="E13" s="124">
        <v>41.2</v>
      </c>
      <c r="F13" s="124">
        <v>49.582000000000001</v>
      </c>
    </row>
    <row r="14" spans="1:6" ht="31" customHeight="1" x14ac:dyDescent="0.2">
      <c r="A14" s="30" t="s">
        <v>32</v>
      </c>
      <c r="B14" s="30" t="s">
        <v>115</v>
      </c>
      <c r="C14" s="31"/>
      <c r="D14" s="32"/>
      <c r="E14" s="32"/>
      <c r="F14" s="32"/>
    </row>
    <row r="15" spans="1:6" ht="31" customHeight="1" x14ac:dyDescent="0.2">
      <c r="A15" s="126" t="s">
        <v>264</v>
      </c>
      <c r="B15" s="33" t="s">
        <v>55</v>
      </c>
      <c r="C15" s="34" t="s">
        <v>144</v>
      </c>
      <c r="D15" s="33"/>
      <c r="E15" s="124">
        <v>150.4</v>
      </c>
      <c r="F15" s="124">
        <v>176.12299999999999</v>
      </c>
    </row>
    <row r="16" spans="1:6" ht="29" customHeight="1" x14ac:dyDescent="0.2">
      <c r="A16" s="126" t="s">
        <v>265</v>
      </c>
      <c r="B16" s="33" t="s">
        <v>117</v>
      </c>
      <c r="C16" s="34" t="s">
        <v>144</v>
      </c>
      <c r="D16" s="33"/>
      <c r="E16" s="124">
        <v>12.5</v>
      </c>
      <c r="F16" s="124">
        <v>13.981999999999999</v>
      </c>
    </row>
    <row r="17" spans="1:6" ht="20" customHeight="1" x14ac:dyDescent="0.2">
      <c r="A17" s="122" t="s">
        <v>27</v>
      </c>
      <c r="B17" s="167" t="s">
        <v>119</v>
      </c>
      <c r="C17" s="167"/>
      <c r="D17" s="28" t="s">
        <v>118</v>
      </c>
      <c r="E17" s="28"/>
      <c r="F17" s="28"/>
    </row>
    <row r="18" spans="1:6" ht="50" customHeight="1" x14ac:dyDescent="0.2">
      <c r="A18" s="125"/>
      <c r="B18" s="167"/>
      <c r="C18" s="167"/>
      <c r="D18" s="167"/>
      <c r="E18" s="167"/>
      <c r="F18" s="167"/>
    </row>
    <row r="20" spans="1:6" x14ac:dyDescent="0.2">
      <c r="C20" s="17"/>
    </row>
    <row r="21" spans="1:6" x14ac:dyDescent="0.2">
      <c r="C21" s="17"/>
    </row>
  </sheetData>
  <mergeCells count="3">
    <mergeCell ref="B18:C18"/>
    <mergeCell ref="B17:C17"/>
    <mergeCell ref="D18:F18"/>
  </mergeCells>
  <phoneticPr fontId="10" type="noConversion"/>
  <printOptions horizontalCentered="1" verticalCentered="1"/>
  <pageMargins left="0.75000000000000011" right="0.75000000000000011" top="1" bottom="1" header="0.5" footer="0.5"/>
  <pageSetup paperSize="9" scale="82" orientation="portrait" horizontalDpi="0" verticalDpi="0"/>
  <headerFooter>
    <oddHeader>&amp;A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H39"/>
  <sheetViews>
    <sheetView showRuler="0" topLeftCell="A7" workbookViewId="0">
      <selection activeCell="C34" sqref="C34:C35"/>
    </sheetView>
  </sheetViews>
  <sheetFormatPr baseColWidth="10" defaultColWidth="11" defaultRowHeight="16" x14ac:dyDescent="0.2"/>
  <cols>
    <col min="1" max="1" width="14.6640625" customWidth="1"/>
    <col min="2" max="2" width="15.33203125" customWidth="1"/>
    <col min="4" max="4" width="14.6640625" customWidth="1"/>
    <col min="5" max="5" width="13.5" bestFit="1" customWidth="1"/>
    <col min="6" max="6" width="15.83203125" bestFit="1" customWidth="1"/>
    <col min="7" max="7" width="13.83203125" customWidth="1"/>
  </cols>
  <sheetData>
    <row r="1" spans="1:8" x14ac:dyDescent="0.2">
      <c r="A1" s="6" t="s">
        <v>8</v>
      </c>
      <c r="B1" s="6"/>
      <c r="C1" s="6" t="s">
        <v>21</v>
      </c>
      <c r="D1" s="6" t="s">
        <v>253</v>
      </c>
      <c r="E1" s="112" t="s">
        <v>315</v>
      </c>
    </row>
    <row r="2" spans="1:8" x14ac:dyDescent="0.2">
      <c r="E2" s="2"/>
    </row>
    <row r="3" spans="1:8" x14ac:dyDescent="0.2">
      <c r="A3" s="162" t="s">
        <v>5</v>
      </c>
      <c r="B3" s="162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SUM(Hauptabrechnung!F27*30%)</f>
        <v>948.67439716817694</v>
      </c>
      <c r="D4" s="15">
        <v>414.52</v>
      </c>
      <c r="E4" s="2">
        <f>SUM(C4/D4)</f>
        <v>2.2886094691888861</v>
      </c>
      <c r="F4" s="15">
        <v>46.69</v>
      </c>
      <c r="G4" t="s">
        <v>15</v>
      </c>
      <c r="H4" s="2">
        <f>SUM(E4*F4)</f>
        <v>106.85517611642909</v>
      </c>
    </row>
    <row r="5" spans="1:8" x14ac:dyDescent="0.2">
      <c r="A5" t="s">
        <v>12</v>
      </c>
      <c r="C5" s="2">
        <f>SUM(Hauptabrechnung!F27*70%)</f>
        <v>2213.5735933924129</v>
      </c>
      <c r="D5" s="36">
        <f>VALUE(Hauptabrechnung!D48)</f>
        <v>17664.22</v>
      </c>
      <c r="E5" s="2">
        <f>SUM(C5/D5)</f>
        <v>0.1253139732970045</v>
      </c>
      <c r="F5" s="36">
        <f>VALUE(H27)</f>
        <v>2095.92</v>
      </c>
      <c r="G5" t="s">
        <v>67</v>
      </c>
      <c r="H5" s="2">
        <f>SUM(E5*F5)</f>
        <v>262.64806291265768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62" t="s">
        <v>1</v>
      </c>
      <c r="B7" s="162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SUM(Hauptabrechnung!F33*30%)</f>
        <v>366.70126919893301</v>
      </c>
      <c r="D8" s="15">
        <v>414.52</v>
      </c>
      <c r="E8" s="2">
        <f>SUM(C8/D8)</f>
        <v>0.88464071504133224</v>
      </c>
      <c r="F8" s="15">
        <v>46.69</v>
      </c>
      <c r="G8" t="s">
        <v>15</v>
      </c>
      <c r="H8" s="2">
        <f>SUM(E8*F8)</f>
        <v>41.303874985279798</v>
      </c>
    </row>
    <row r="9" spans="1:8" x14ac:dyDescent="0.2">
      <c r="A9" t="s">
        <v>12</v>
      </c>
      <c r="C9" s="2">
        <f>SUM(Hauptabrechnung!F33*70%)</f>
        <v>855.63629479751035</v>
      </c>
      <c r="D9" s="15">
        <f>VALUE(Hauptabrechnung!D52)</f>
        <v>75.512</v>
      </c>
      <c r="E9" s="2">
        <f>SUM(C9/D9)</f>
        <v>11.331130082602902</v>
      </c>
      <c r="F9" s="15">
        <f>VALUE(H31)</f>
        <v>12.920999999999999</v>
      </c>
      <c r="G9" t="s">
        <v>68</v>
      </c>
      <c r="H9" s="2">
        <f>SUM(E9*F9)</f>
        <v>146.4095317973121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62" t="s">
        <v>4</v>
      </c>
      <c r="B11" s="162"/>
      <c r="C11" s="2">
        <f>SUM(Hauptabrechnung!C54)</f>
        <v>1307.9544454429661</v>
      </c>
      <c r="D11" s="15">
        <f>VALUE(Hauptabrechnung!B15)</f>
        <v>193.77500000000003</v>
      </c>
      <c r="E11" s="2">
        <f>SUM(C11/D11)</f>
        <v>6.7498616717479853</v>
      </c>
      <c r="F11" s="15">
        <f>VALUE(H36)</f>
        <v>14.874000000000008</v>
      </c>
      <c r="G11" t="s">
        <v>68</v>
      </c>
      <c r="H11" s="2">
        <f>SUM(E11*F11)</f>
        <v>100.39744250557959</v>
      </c>
    </row>
    <row r="12" spans="1:8" x14ac:dyDescent="0.2">
      <c r="A12" t="s">
        <v>281</v>
      </c>
    </row>
    <row r="13" spans="1:8" x14ac:dyDescent="0.2">
      <c r="A13" s="162" t="s">
        <v>3</v>
      </c>
      <c r="B13" s="162"/>
      <c r="C13" s="2">
        <f>SUM(C4:C11)</f>
        <v>5692.5399999999991</v>
      </c>
      <c r="H13" s="2">
        <f>SUM(H4+H5+H8+H9+H11)</f>
        <v>657.61408831725817</v>
      </c>
    </row>
    <row r="14" spans="1:8" x14ac:dyDescent="0.2">
      <c r="A14" s="162" t="s">
        <v>122</v>
      </c>
      <c r="B14" s="162"/>
      <c r="H14" s="2">
        <f>VALUE([1]Weber!$H$13)</f>
        <v>624.97667599133456</v>
      </c>
    </row>
    <row r="15" spans="1:8" x14ac:dyDescent="0.2">
      <c r="A15" s="162" t="s">
        <v>24</v>
      </c>
      <c r="B15" s="162"/>
      <c r="H15" s="2">
        <f>SUM(H13-H14)</f>
        <v>32.637412325923606</v>
      </c>
    </row>
    <row r="19" spans="1:8" s="21" customFormat="1" x14ac:dyDescent="0.2">
      <c r="A19" s="52" t="s">
        <v>25</v>
      </c>
      <c r="B19" s="52"/>
      <c r="C19" s="66" t="s">
        <v>27</v>
      </c>
      <c r="D19" s="21" t="s">
        <v>54</v>
      </c>
      <c r="E19" s="21" t="s">
        <v>114</v>
      </c>
      <c r="G19" s="66" t="s">
        <v>29</v>
      </c>
      <c r="H19" s="66" t="s">
        <v>30</v>
      </c>
    </row>
    <row r="20" spans="1:8" x14ac:dyDescent="0.2">
      <c r="A20" s="63">
        <v>90878819</v>
      </c>
      <c r="B20" s="16" t="s">
        <v>61</v>
      </c>
      <c r="C20" s="17"/>
      <c r="D20" s="16" t="s">
        <v>79</v>
      </c>
      <c r="E20" s="64">
        <v>0.73499999999999999</v>
      </c>
      <c r="F20" s="37"/>
      <c r="G20" s="67">
        <f>VALUE('Ablesung Weber'!F3)</f>
        <v>571</v>
      </c>
      <c r="H20" s="37">
        <f t="shared" ref="H20:H26" si="0">SUM(E20*G20)</f>
        <v>419.685</v>
      </c>
    </row>
    <row r="21" spans="1:8" x14ac:dyDescent="0.2">
      <c r="A21" s="63">
        <v>90878813</v>
      </c>
      <c r="B21" s="16" t="s">
        <v>55</v>
      </c>
      <c r="C21" s="17"/>
      <c r="D21" s="16" t="s">
        <v>97</v>
      </c>
      <c r="E21" s="64">
        <v>1.2729999999999999</v>
      </c>
      <c r="F21" s="37"/>
      <c r="G21" s="67">
        <f>VALUE('Ablesung Weber'!F4)</f>
        <v>1</v>
      </c>
      <c r="H21" s="37">
        <f t="shared" si="0"/>
        <v>1.2729999999999999</v>
      </c>
    </row>
    <row r="22" spans="1:8" x14ac:dyDescent="0.2">
      <c r="A22" s="63">
        <v>90878814</v>
      </c>
      <c r="B22" s="16" t="s">
        <v>56</v>
      </c>
      <c r="C22" s="17"/>
      <c r="D22" s="16" t="s">
        <v>90</v>
      </c>
      <c r="E22" s="64">
        <v>0.95399999999999996</v>
      </c>
      <c r="F22" s="37"/>
      <c r="G22" s="67">
        <f>VALUE('Ablesung Weber'!F5)</f>
        <v>0</v>
      </c>
      <c r="H22" s="37">
        <f t="shared" si="0"/>
        <v>0</v>
      </c>
    </row>
    <row r="23" spans="1:8" x14ac:dyDescent="0.2">
      <c r="A23" s="63">
        <v>90878815</v>
      </c>
      <c r="B23" s="16" t="s">
        <v>64</v>
      </c>
      <c r="C23" s="17"/>
      <c r="D23" s="16" t="s">
        <v>98</v>
      </c>
      <c r="E23" s="64">
        <v>3.0550000000000002</v>
      </c>
      <c r="F23" s="37"/>
      <c r="G23" s="67">
        <f>VALUE('Ablesung Weber'!F6)</f>
        <v>294</v>
      </c>
      <c r="H23" s="37">
        <f t="shared" si="0"/>
        <v>898.17000000000007</v>
      </c>
    </row>
    <row r="24" spans="1:8" x14ac:dyDescent="0.2">
      <c r="A24" s="63">
        <v>90878816</v>
      </c>
      <c r="B24" s="16" t="s">
        <v>65</v>
      </c>
      <c r="C24" s="17"/>
      <c r="D24" s="16" t="s">
        <v>91</v>
      </c>
      <c r="E24" s="64">
        <v>1.0289999999999999</v>
      </c>
      <c r="F24" s="37"/>
      <c r="G24" s="67">
        <f>VALUE('Ablesung Weber'!F7)</f>
        <v>2</v>
      </c>
      <c r="H24" s="37">
        <f t="shared" si="0"/>
        <v>2.0579999999999998</v>
      </c>
    </row>
    <row r="25" spans="1:8" x14ac:dyDescent="0.2">
      <c r="A25" s="63">
        <v>90878817</v>
      </c>
      <c r="B25" s="16" t="s">
        <v>66</v>
      </c>
      <c r="C25" s="17"/>
      <c r="D25" s="16" t="s">
        <v>99</v>
      </c>
      <c r="E25" s="64">
        <v>2.0979999999999999</v>
      </c>
      <c r="F25" s="37"/>
      <c r="G25" s="67">
        <f>VALUE('Ablesung Weber'!F8)</f>
        <v>368</v>
      </c>
      <c r="H25" s="37">
        <f t="shared" si="0"/>
        <v>772.06399999999996</v>
      </c>
    </row>
    <row r="26" spans="1:8" x14ac:dyDescent="0.2">
      <c r="A26" s="63">
        <v>90878818</v>
      </c>
      <c r="B26" s="16" t="s">
        <v>57</v>
      </c>
      <c r="C26" s="17"/>
      <c r="D26" s="16" t="s">
        <v>81</v>
      </c>
      <c r="E26" s="64">
        <v>1.335</v>
      </c>
      <c r="F26" s="37"/>
      <c r="G26" s="67">
        <f>VALUE('Ablesung Weber'!F9)</f>
        <v>2</v>
      </c>
      <c r="H26" s="37">
        <f t="shared" si="0"/>
        <v>2.67</v>
      </c>
    </row>
    <row r="27" spans="1:8" x14ac:dyDescent="0.2">
      <c r="A27" s="19"/>
      <c r="B27" s="16"/>
      <c r="C27" s="20"/>
      <c r="D27" s="116"/>
      <c r="E27" s="16"/>
      <c r="F27" s="16"/>
      <c r="G27" s="65" t="s">
        <v>35</v>
      </c>
      <c r="H27" s="61">
        <f>SUM(H20:H26)</f>
        <v>2095.92</v>
      </c>
    </row>
    <row r="28" spans="1:8" x14ac:dyDescent="0.2">
      <c r="A28" s="12"/>
      <c r="C28" s="10"/>
      <c r="F28" s="3"/>
    </row>
    <row r="29" spans="1:8" s="21" customFormat="1" x14ac:dyDescent="0.2">
      <c r="A29" s="50" t="s">
        <v>31</v>
      </c>
      <c r="C29" s="55" t="s">
        <v>27</v>
      </c>
      <c r="D29" s="51" t="s">
        <v>131</v>
      </c>
      <c r="E29" s="57" t="s">
        <v>114</v>
      </c>
      <c r="F29" s="57" t="s">
        <v>28</v>
      </c>
      <c r="G29" s="57" t="s">
        <v>29</v>
      </c>
      <c r="H29" s="57" t="s">
        <v>30</v>
      </c>
    </row>
    <row r="30" spans="1:8" x14ac:dyDescent="0.2">
      <c r="A30" s="12" t="s">
        <v>45</v>
      </c>
      <c r="B30" t="s">
        <v>55</v>
      </c>
      <c r="C30" s="17"/>
      <c r="D30" t="s">
        <v>133</v>
      </c>
      <c r="E30" s="41">
        <v>1</v>
      </c>
      <c r="F30" s="134">
        <f>VALUE('Ablesung Weber'!E12)</f>
        <v>49.8</v>
      </c>
      <c r="G30" s="3">
        <f>VALUE('Ablesung Weber'!F12)</f>
        <v>62.720999999999997</v>
      </c>
      <c r="H30" s="134">
        <f>SUM(G30-F30)</f>
        <v>12.920999999999999</v>
      </c>
    </row>
    <row r="31" spans="1:8" x14ac:dyDescent="0.2">
      <c r="A31" s="12"/>
      <c r="C31" s="10"/>
      <c r="E31" s="41"/>
      <c r="F31" s="41"/>
      <c r="G31" s="43" t="s">
        <v>35</v>
      </c>
      <c r="H31" s="41">
        <f>SUM(H30)</f>
        <v>12.920999999999999</v>
      </c>
    </row>
    <row r="32" spans="1:8" x14ac:dyDescent="0.2">
      <c r="A32" s="12"/>
      <c r="C32" s="10"/>
      <c r="E32" s="41"/>
      <c r="F32" s="41"/>
      <c r="G32" s="41"/>
      <c r="H32" s="41"/>
    </row>
    <row r="33" spans="1:8" s="21" customFormat="1" x14ac:dyDescent="0.2">
      <c r="A33" s="50" t="s">
        <v>32</v>
      </c>
      <c r="C33" s="55" t="s">
        <v>27</v>
      </c>
      <c r="D33" s="51" t="s">
        <v>132</v>
      </c>
      <c r="E33" s="57" t="s">
        <v>114</v>
      </c>
      <c r="F33" s="57" t="s">
        <v>28</v>
      </c>
      <c r="G33" s="57" t="s">
        <v>29</v>
      </c>
      <c r="H33" s="57" t="s">
        <v>30</v>
      </c>
    </row>
    <row r="34" spans="1:8" x14ac:dyDescent="0.2">
      <c r="A34" s="12" t="s">
        <v>46</v>
      </c>
      <c r="B34" t="s">
        <v>55</v>
      </c>
      <c r="C34" s="17"/>
      <c r="D34" t="s">
        <v>133</v>
      </c>
      <c r="E34" s="41">
        <v>1</v>
      </c>
      <c r="F34" s="134">
        <f>VALUE('Ablesung Weber'!E14)</f>
        <v>69.3</v>
      </c>
      <c r="G34" s="3">
        <f>VALUE('Ablesung Weber'!F14)</f>
        <v>82.474000000000004</v>
      </c>
      <c r="H34" s="134">
        <f>SUM(G34-F34)</f>
        <v>13.174000000000007</v>
      </c>
    </row>
    <row r="35" spans="1:8" x14ac:dyDescent="0.2">
      <c r="A35" s="12" t="s">
        <v>47</v>
      </c>
      <c r="B35" t="s">
        <v>117</v>
      </c>
      <c r="C35" s="17"/>
      <c r="D35" t="s">
        <v>133</v>
      </c>
      <c r="E35" s="41">
        <v>1</v>
      </c>
      <c r="F35" s="134">
        <f>VALUE('Ablesung Weber'!E15)</f>
        <v>9.1999999999999993</v>
      </c>
      <c r="G35" s="3">
        <f>VALUE('Ablesung Weber'!F15)</f>
        <v>10.9</v>
      </c>
      <c r="H35" s="134">
        <f>SUM(G35-F35)</f>
        <v>1.7000000000000011</v>
      </c>
    </row>
    <row r="36" spans="1:8" x14ac:dyDescent="0.2">
      <c r="A36" s="12"/>
      <c r="C36" s="10"/>
      <c r="E36" s="41"/>
      <c r="F36" s="41"/>
      <c r="G36" s="43" t="s">
        <v>35</v>
      </c>
      <c r="H36" s="41">
        <f>SUM(H34+H35)</f>
        <v>14.874000000000008</v>
      </c>
    </row>
    <row r="37" spans="1:8" x14ac:dyDescent="0.2">
      <c r="A37" s="12"/>
      <c r="C37" s="10"/>
      <c r="F37" s="3"/>
    </row>
    <row r="38" spans="1:8" x14ac:dyDescent="0.2">
      <c r="A38" s="12"/>
      <c r="C38" s="10"/>
      <c r="F38" s="3"/>
    </row>
    <row r="39" spans="1:8" x14ac:dyDescent="0.2">
      <c r="A39" s="12"/>
      <c r="C39" s="10"/>
      <c r="F39" s="3"/>
    </row>
  </sheetData>
  <mergeCells count="6">
    <mergeCell ref="A15:B15"/>
    <mergeCell ref="A3:B3"/>
    <mergeCell ref="A7:B7"/>
    <mergeCell ref="A11:B11"/>
    <mergeCell ref="A13:B13"/>
    <mergeCell ref="A14:B14"/>
  </mergeCells>
  <printOptions horizontalCentered="1" verticalCentered="1"/>
  <pageMargins left="0.2" right="0.2" top="0.2" bottom="0.2" header="0.2" footer="0.51"/>
  <pageSetup paperSize="9" scale="85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G234"/>
  <sheetViews>
    <sheetView showRuler="0" topLeftCell="A4" workbookViewId="0">
      <selection activeCell="C34" sqref="C34:C35"/>
    </sheetView>
  </sheetViews>
  <sheetFormatPr baseColWidth="10" defaultRowHeight="13" x14ac:dyDescent="0.15"/>
  <cols>
    <col min="1" max="1" width="26.33203125" style="70" customWidth="1"/>
    <col min="2" max="2" width="8.5" style="71" customWidth="1"/>
    <col min="3" max="3" width="10.83203125" style="72"/>
    <col min="4" max="4" width="7.6640625" style="72" customWidth="1"/>
    <col min="5" max="5" width="17.5" style="70" customWidth="1"/>
    <col min="6" max="6" width="9.1640625" style="70" customWidth="1"/>
    <col min="7" max="7" width="17.5" style="93" customWidth="1"/>
    <col min="8" max="16384" width="10.83203125" style="72"/>
  </cols>
  <sheetData>
    <row r="1" spans="1:7" s="69" customFormat="1" ht="16" x14ac:dyDescent="0.2">
      <c r="A1" s="163" t="s">
        <v>196</v>
      </c>
      <c r="B1" s="163"/>
      <c r="C1" s="163"/>
      <c r="D1" s="163"/>
      <c r="E1" s="163"/>
      <c r="F1" s="163"/>
      <c r="G1" s="163"/>
    </row>
    <row r="2" spans="1:7" s="69" customFormat="1" ht="16" x14ac:dyDescent="0.2">
      <c r="A2" s="100"/>
      <c r="B2" s="100"/>
      <c r="C2" s="100"/>
      <c r="D2" s="100"/>
      <c r="E2" s="100"/>
      <c r="F2" s="100"/>
      <c r="G2" s="100"/>
    </row>
    <row r="3" spans="1:7" s="76" customFormat="1" ht="42" x14ac:dyDescent="0.15">
      <c r="A3" s="74" t="s">
        <v>282</v>
      </c>
      <c r="B3" s="75"/>
      <c r="E3" s="74"/>
      <c r="F3" s="74"/>
      <c r="G3" s="77">
        <f ca="1">TODAY()</f>
        <v>46119</v>
      </c>
    </row>
    <row r="4" spans="1:7" s="78" customFormat="1" ht="24.75" customHeight="1" x14ac:dyDescent="0.25">
      <c r="A4" s="164" t="s">
        <v>313</v>
      </c>
      <c r="B4" s="164"/>
      <c r="C4" s="164"/>
      <c r="D4" s="164"/>
      <c r="E4" s="164"/>
      <c r="F4" s="164"/>
      <c r="G4" s="164"/>
    </row>
    <row r="5" spans="1:7" s="69" customFormat="1" ht="21" customHeight="1" x14ac:dyDescent="0.15">
      <c r="A5" s="79" t="s">
        <v>233</v>
      </c>
      <c r="B5" s="80"/>
      <c r="E5" s="79"/>
      <c r="F5" s="79" t="s">
        <v>309</v>
      </c>
      <c r="G5" s="81" t="s">
        <v>314</v>
      </c>
    </row>
    <row r="6" spans="1:7" s="84" customFormat="1" ht="14.25" customHeight="1" x14ac:dyDescent="0.2">
      <c r="A6" s="82" t="s">
        <v>199</v>
      </c>
      <c r="B6" s="83"/>
      <c r="E6" s="82"/>
      <c r="F6" s="82"/>
      <c r="G6" s="85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204</v>
      </c>
    </row>
    <row r="8" spans="1:7" x14ac:dyDescent="0.15">
      <c r="D8" s="72" t="s">
        <v>205</v>
      </c>
      <c r="F8" s="70" t="s">
        <v>205</v>
      </c>
      <c r="G8" s="73"/>
    </row>
    <row r="9" spans="1:7" s="88" customFormat="1" x14ac:dyDescent="0.2">
      <c r="A9" s="86" t="s">
        <v>199</v>
      </c>
      <c r="B9" s="87"/>
      <c r="E9" s="86"/>
      <c r="F9" s="86"/>
      <c r="G9" s="89"/>
    </row>
    <row r="10" spans="1:7" x14ac:dyDescent="0.15">
      <c r="A10" s="70" t="s">
        <v>206</v>
      </c>
      <c r="C10" s="71">
        <f>VALUE('Zahlungen 2025'!I19)</f>
        <v>2400</v>
      </c>
      <c r="D10" s="90">
        <v>6</v>
      </c>
      <c r="E10" s="70" t="s">
        <v>207</v>
      </c>
      <c r="F10" s="91" t="s">
        <v>208</v>
      </c>
      <c r="G10" s="92">
        <f>SUM(C10/D10*F10)</f>
        <v>400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5692.54</v>
      </c>
      <c r="D12" s="90">
        <v>1</v>
      </c>
      <c r="E12" s="70" t="s">
        <v>210</v>
      </c>
      <c r="F12" s="91" t="s">
        <v>208</v>
      </c>
      <c r="G12" s="92">
        <f>VALUE(Weber!H13)</f>
        <v>657.61408831725817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SUM(C15+C16+C17)</f>
        <v>404.76</v>
      </c>
      <c r="D14" s="90">
        <v>6</v>
      </c>
      <c r="E14" s="70" t="s">
        <v>207</v>
      </c>
      <c r="F14" s="91" t="s">
        <v>208</v>
      </c>
      <c r="G14" s="92">
        <f>SUM(C14/D14*F14)</f>
        <v>67.459999999999994</v>
      </c>
    </row>
    <row r="15" spans="1:7" x14ac:dyDescent="0.15">
      <c r="A15" s="70" t="s">
        <v>212</v>
      </c>
      <c r="C15" s="93">
        <f>VALUE('Zahlungen 2025'!D42)</f>
        <v>99.81</v>
      </c>
      <c r="D15" s="90"/>
      <c r="F15" s="91"/>
      <c r="G15" s="92"/>
    </row>
    <row r="16" spans="1:7" x14ac:dyDescent="0.15">
      <c r="A16" s="70" t="s">
        <v>213</v>
      </c>
      <c r="C16" s="93">
        <f>VALUE('Zahlungen 2025'!I42)</f>
        <v>304.95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A18" s="70" t="s">
        <v>214</v>
      </c>
      <c r="C18" s="71">
        <f>VALUE('Zahlungen 2025'!B42)</f>
        <v>526.29999999999995</v>
      </c>
      <c r="D18" s="90">
        <v>6</v>
      </c>
      <c r="E18" s="70" t="s">
        <v>207</v>
      </c>
      <c r="F18" s="91" t="s">
        <v>208</v>
      </c>
      <c r="G18" s="92">
        <f>SUM(C18/D18*F18)</f>
        <v>87.716666666666654</v>
      </c>
    </row>
    <row r="19" spans="1:7" x14ac:dyDescent="0.15">
      <c r="C19" s="71"/>
      <c r="D19" s="90"/>
      <c r="F19" s="91"/>
      <c r="G19" s="92"/>
    </row>
    <row r="20" spans="1:7" x14ac:dyDescent="0.15">
      <c r="A20" s="70" t="s">
        <v>215</v>
      </c>
      <c r="C20" s="71">
        <f>VALUE('Zahlungen 2025'!F42)</f>
        <v>496.8</v>
      </c>
      <c r="D20" s="90">
        <v>10</v>
      </c>
      <c r="E20" s="70" t="s">
        <v>227</v>
      </c>
      <c r="F20" s="91" t="s">
        <v>208</v>
      </c>
      <c r="G20" s="92">
        <f t="shared" ref="G20" si="0">SUM(C20/D20*F20)</f>
        <v>49.68</v>
      </c>
    </row>
    <row r="21" spans="1:7" x14ac:dyDescent="0.15">
      <c r="C21" s="71"/>
      <c r="D21" s="90"/>
      <c r="F21" s="91"/>
      <c r="G21" s="92"/>
    </row>
    <row r="22" spans="1:7" x14ac:dyDescent="0.15">
      <c r="C22" s="71"/>
      <c r="D22" s="90"/>
      <c r="F22" s="91"/>
      <c r="G22" s="92"/>
    </row>
    <row r="23" spans="1:7" x14ac:dyDescent="0.15">
      <c r="C23" s="71"/>
      <c r="D23" s="90"/>
      <c r="F23" s="91"/>
      <c r="G23" s="92"/>
    </row>
    <row r="24" spans="1:7" x14ac:dyDescent="0.15">
      <c r="C24" s="71"/>
      <c r="D24" s="90"/>
      <c r="F24" s="91"/>
      <c r="G24" s="92"/>
    </row>
    <row r="25" spans="1:7" x14ac:dyDescent="0.15">
      <c r="A25" s="79" t="s">
        <v>217</v>
      </c>
      <c r="B25" s="80"/>
      <c r="C25" s="71">
        <f>SUM(C26+C27)</f>
        <v>1787.29</v>
      </c>
      <c r="D25" s="90">
        <v>6</v>
      </c>
      <c r="E25" s="70" t="s">
        <v>218</v>
      </c>
      <c r="F25" s="91" t="s">
        <v>208</v>
      </c>
      <c r="G25" s="92">
        <f>SUM(C25/D25*F25)</f>
        <v>297.88166666666666</v>
      </c>
    </row>
    <row r="26" spans="1:7" x14ac:dyDescent="0.15">
      <c r="A26" s="70" t="s">
        <v>219</v>
      </c>
      <c r="C26" s="71">
        <f>VALUE('Zahlungen 2025'!C24)</f>
        <v>1726.84</v>
      </c>
      <c r="D26" s="90"/>
      <c r="F26" s="91"/>
      <c r="G26" s="92"/>
    </row>
    <row r="27" spans="1:7" x14ac:dyDescent="0.15">
      <c r="A27" s="70" t="s">
        <v>220</v>
      </c>
      <c r="C27" s="71">
        <f>VALUE('Zahlungen 2025'!C23)</f>
        <v>60.45</v>
      </c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216</v>
      </c>
      <c r="C29" s="71">
        <f>VALUE('Zahlungen 2025'!H42)</f>
        <v>50</v>
      </c>
      <c r="D29" s="90">
        <v>6</v>
      </c>
      <c r="E29" s="70" t="s">
        <v>207</v>
      </c>
      <c r="F29" s="91" t="s">
        <v>208</v>
      </c>
      <c r="G29" s="92">
        <f>C29/D29</f>
        <v>8.3333333333333339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221</v>
      </c>
      <c r="C31" s="71">
        <f>VALUE('Zahlungen 2025'!E42)</f>
        <v>172.95000000000002</v>
      </c>
      <c r="D31" s="90">
        <v>6</v>
      </c>
      <c r="E31" s="70" t="s">
        <v>207</v>
      </c>
      <c r="F31" s="91" t="s">
        <v>208</v>
      </c>
      <c r="G31" s="92">
        <f t="shared" ref="G31" si="1">C31/D31</f>
        <v>28.825000000000003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222</v>
      </c>
      <c r="C33" s="71">
        <f>VALUE('Zahlungen 2025'!J42)</f>
        <v>0</v>
      </c>
      <c r="D33" s="90">
        <v>6</v>
      </c>
      <c r="E33" s="70" t="s">
        <v>207</v>
      </c>
      <c r="F33" s="91" t="s">
        <v>208</v>
      </c>
      <c r="G33" s="92">
        <f>SUM(C33/D33*F33)</f>
        <v>0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302</v>
      </c>
      <c r="C35" s="71">
        <f>VALUE('Zahlungen 2025'!J19)</f>
        <v>6000</v>
      </c>
      <c r="D35" s="151">
        <v>6</v>
      </c>
      <c r="E35" s="152" t="s">
        <v>207</v>
      </c>
      <c r="F35" s="153" t="s">
        <v>208</v>
      </c>
      <c r="G35" s="92">
        <f>SUM(C35/D35*F35)</f>
        <v>1000</v>
      </c>
    </row>
    <row r="36" spans="1:7" x14ac:dyDescent="0.15">
      <c r="C36" s="71"/>
      <c r="D36" s="90"/>
      <c r="F36" s="91"/>
      <c r="G36" s="92"/>
    </row>
    <row r="37" spans="1:7" s="69" customFormat="1" x14ac:dyDescent="0.15">
      <c r="A37" s="79" t="s">
        <v>3</v>
      </c>
      <c r="B37" s="71"/>
      <c r="C37" s="71">
        <f>SUM(C10+C12+C35+C14+C18+C20+C25+C29+C31+C33)</f>
        <v>17530.64</v>
      </c>
      <c r="D37" s="90"/>
      <c r="E37" s="70"/>
      <c r="F37" s="91"/>
      <c r="G37" s="92">
        <f>SUM(G10+G12+G14+G18+G20+G21+G22+G25+G29+G31+G33+G35)</f>
        <v>2597.5107549839249</v>
      </c>
    </row>
    <row r="38" spans="1:7" x14ac:dyDescent="0.15">
      <c r="A38" s="79" t="s">
        <v>199</v>
      </c>
      <c r="B38" s="80"/>
      <c r="C38" s="80"/>
      <c r="D38" s="94"/>
      <c r="E38" s="79"/>
      <c r="F38" s="95"/>
      <c r="G38" s="96"/>
    </row>
    <row r="39" spans="1:7" x14ac:dyDescent="0.15">
      <c r="D39" s="90"/>
      <c r="F39" s="91"/>
      <c r="G39" s="92"/>
    </row>
    <row r="40" spans="1:7" x14ac:dyDescent="0.15">
      <c r="A40" s="70" t="s">
        <v>311</v>
      </c>
      <c r="C40" s="71"/>
      <c r="D40" s="90"/>
      <c r="G40" s="93">
        <f>VALUE('Zahlungen 2025'!F19)</f>
        <v>2520</v>
      </c>
    </row>
    <row r="41" spans="1:7" x14ac:dyDescent="0.15">
      <c r="A41" s="86" t="s">
        <v>199</v>
      </c>
      <c r="B41" s="87"/>
      <c r="C41" s="87"/>
      <c r="D41" s="88"/>
      <c r="E41" s="86"/>
      <c r="F41" s="86"/>
      <c r="G41" s="92"/>
    </row>
    <row r="42" spans="1:7" x14ac:dyDescent="0.15">
      <c r="A42" s="79" t="s">
        <v>223</v>
      </c>
      <c r="C42" s="71"/>
      <c r="D42" s="90"/>
      <c r="E42" s="70" t="s">
        <v>296</v>
      </c>
      <c r="G42" s="97">
        <f>SUM(G40-G37)</f>
        <v>-77.510754983924926</v>
      </c>
    </row>
    <row r="43" spans="1:7" x14ac:dyDescent="0.15">
      <c r="A43" s="86"/>
      <c r="B43" s="87"/>
      <c r="C43" s="87"/>
      <c r="D43" s="88"/>
      <c r="E43" s="86"/>
      <c r="F43" s="86"/>
      <c r="G43" s="98"/>
    </row>
    <row r="44" spans="1:7" x14ac:dyDescent="0.15">
      <c r="G44" s="73"/>
    </row>
    <row r="45" spans="1:7" x14ac:dyDescent="0.15">
      <c r="A45" s="165" t="s">
        <v>239</v>
      </c>
      <c r="B45" s="165"/>
      <c r="C45" s="165"/>
      <c r="D45" s="165"/>
      <c r="E45" s="165"/>
      <c r="F45" s="165"/>
      <c r="G45" s="165"/>
    </row>
    <row r="46" spans="1:7" x14ac:dyDescent="0.15">
      <c r="A46" s="166" t="s">
        <v>224</v>
      </c>
      <c r="B46" s="166"/>
      <c r="C46" s="166"/>
      <c r="D46" s="166"/>
      <c r="E46" s="166"/>
      <c r="F46" s="166"/>
      <c r="G46" s="166"/>
    </row>
    <row r="47" spans="1:7" x14ac:dyDescent="0.15">
      <c r="C47" s="99"/>
      <c r="G47" s="73"/>
    </row>
    <row r="48" spans="1:7" x14ac:dyDescent="0.15">
      <c r="C48" s="99"/>
      <c r="G48" s="73"/>
    </row>
    <row r="49" spans="1:7" x14ac:dyDescent="0.15">
      <c r="A49" s="79"/>
      <c r="C49" s="99"/>
      <c r="G49" s="73"/>
    </row>
    <row r="50" spans="1:7" x14ac:dyDescent="0.15">
      <c r="C50" s="99"/>
      <c r="G50" s="73"/>
    </row>
    <row r="51" spans="1:7" x14ac:dyDescent="0.15">
      <c r="C51" s="71"/>
      <c r="G51" s="73"/>
    </row>
    <row r="52" spans="1:7" x14ac:dyDescent="0.15">
      <c r="C52" s="71"/>
      <c r="G52" s="73"/>
    </row>
    <row r="53" spans="1:7" x14ac:dyDescent="0.15">
      <c r="G53" s="73"/>
    </row>
    <row r="54" spans="1:7" x14ac:dyDescent="0.15">
      <c r="C54" s="71"/>
    </row>
    <row r="55" spans="1:7" x14ac:dyDescent="0.15">
      <c r="C55" s="71"/>
    </row>
    <row r="56" spans="1:7" x14ac:dyDescent="0.15">
      <c r="C56" s="71"/>
    </row>
    <row r="57" spans="1:7" x14ac:dyDescent="0.15">
      <c r="C57" s="71"/>
    </row>
    <row r="58" spans="1:7" x14ac:dyDescent="0.15">
      <c r="C58" s="71"/>
    </row>
    <row r="59" spans="1:7" x14ac:dyDescent="0.15">
      <c r="C59" s="71"/>
    </row>
    <row r="60" spans="1:7" x14ac:dyDescent="0.15">
      <c r="C60" s="71"/>
    </row>
    <row r="61" spans="1:7" x14ac:dyDescent="0.15">
      <c r="C61" s="71"/>
    </row>
    <row r="62" spans="1:7" x14ac:dyDescent="0.15">
      <c r="C62" s="71"/>
    </row>
    <row r="63" spans="1:7" x14ac:dyDescent="0.15">
      <c r="C63" s="71"/>
    </row>
    <row r="64" spans="1:7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  <row r="223" spans="3:3" x14ac:dyDescent="0.15">
      <c r="C223" s="71"/>
    </row>
    <row r="224" spans="3:3" x14ac:dyDescent="0.15">
      <c r="C224" s="71"/>
    </row>
    <row r="225" spans="3:3" x14ac:dyDescent="0.15">
      <c r="C225" s="71"/>
    </row>
    <row r="226" spans="3:3" x14ac:dyDescent="0.15">
      <c r="C226" s="71"/>
    </row>
    <row r="227" spans="3:3" x14ac:dyDescent="0.15">
      <c r="C227" s="71"/>
    </row>
    <row r="228" spans="3:3" x14ac:dyDescent="0.15">
      <c r="C228" s="71"/>
    </row>
    <row r="229" spans="3:3" x14ac:dyDescent="0.15">
      <c r="C229" s="71"/>
    </row>
    <row r="230" spans="3:3" x14ac:dyDescent="0.15">
      <c r="C230" s="71"/>
    </row>
    <row r="231" spans="3:3" x14ac:dyDescent="0.15">
      <c r="C231" s="71"/>
    </row>
    <row r="232" spans="3:3" x14ac:dyDescent="0.15">
      <c r="C232" s="71"/>
    </row>
    <row r="233" spans="3:3" x14ac:dyDescent="0.15">
      <c r="C233" s="71"/>
    </row>
    <row r="234" spans="3:3" x14ac:dyDescent="0.15">
      <c r="C234" s="71"/>
    </row>
  </sheetData>
  <mergeCells count="4">
    <mergeCell ref="A1:G1"/>
    <mergeCell ref="A4:G4"/>
    <mergeCell ref="A45:G45"/>
    <mergeCell ref="A46:G46"/>
  </mergeCells>
  <hyperlinks>
    <hyperlink ref="A46" r:id="rId1" xr:uid="{00000000-0004-0000-1000-000000000000}"/>
  </hyperlinks>
  <printOptions horizontalCentered="1" verticalCentered="1"/>
  <pageMargins left="0.2" right="0.2" top="0.2" bottom="0.2" header="0.2" footer="0.51"/>
  <pageSetup paperSize="9" scale="96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F21"/>
  <sheetViews>
    <sheetView showRuler="0" topLeftCell="A4" workbookViewId="0">
      <selection activeCell="F16" sqref="F16"/>
    </sheetView>
  </sheetViews>
  <sheetFormatPr baseColWidth="10" defaultRowHeight="16" x14ac:dyDescent="0.2"/>
  <cols>
    <col min="1" max="1" width="17.5" customWidth="1"/>
    <col min="2" max="2" width="14.33203125" customWidth="1"/>
    <col min="3" max="3" width="18" customWidth="1"/>
    <col min="4" max="5" width="20.6640625" customWidth="1"/>
    <col min="6" max="6" width="10.6640625" customWidth="1"/>
  </cols>
  <sheetData>
    <row r="1" spans="1:6" ht="31" customHeight="1" x14ac:dyDescent="0.25">
      <c r="A1" s="120" t="s">
        <v>253</v>
      </c>
      <c r="B1" s="121" t="s">
        <v>312</v>
      </c>
      <c r="C1" s="33"/>
      <c r="D1" s="33"/>
      <c r="E1" s="121" t="s">
        <v>127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28">
        <v>90878819</v>
      </c>
      <c r="B3" s="28" t="s">
        <v>61</v>
      </c>
      <c r="C3" s="28" t="s">
        <v>79</v>
      </c>
      <c r="D3" s="119">
        <v>0.73499999999999999</v>
      </c>
      <c r="E3" s="40">
        <v>214</v>
      </c>
      <c r="F3" s="40">
        <v>571</v>
      </c>
    </row>
    <row r="4" spans="1:6" ht="31" customHeight="1" x14ac:dyDescent="0.2">
      <c r="A4" s="28">
        <v>90878813</v>
      </c>
      <c r="B4" s="28" t="s">
        <v>55</v>
      </c>
      <c r="C4" s="28" t="s">
        <v>97</v>
      </c>
      <c r="D4" s="119">
        <v>1.2729999999999999</v>
      </c>
      <c r="E4" s="40">
        <v>20</v>
      </c>
      <c r="F4" s="40">
        <v>1</v>
      </c>
    </row>
    <row r="5" spans="1:6" ht="31" customHeight="1" x14ac:dyDescent="0.2">
      <c r="A5" s="28">
        <v>90878814</v>
      </c>
      <c r="B5" s="28" t="s">
        <v>56</v>
      </c>
      <c r="C5" s="28" t="s">
        <v>90</v>
      </c>
      <c r="D5" s="119">
        <v>0.95399999999999996</v>
      </c>
      <c r="E5" s="40">
        <v>0</v>
      </c>
      <c r="F5" s="40">
        <v>0</v>
      </c>
    </row>
    <row r="6" spans="1:6" ht="31" customHeight="1" x14ac:dyDescent="0.2">
      <c r="A6" s="28">
        <v>90878815</v>
      </c>
      <c r="B6" s="28" t="s">
        <v>64</v>
      </c>
      <c r="C6" s="28" t="s">
        <v>98</v>
      </c>
      <c r="D6" s="119">
        <v>3.0550000000000002</v>
      </c>
      <c r="E6" s="40">
        <v>353</v>
      </c>
      <c r="F6" s="40">
        <v>294</v>
      </c>
    </row>
    <row r="7" spans="1:6" ht="31" customHeight="1" x14ac:dyDescent="0.2">
      <c r="A7" s="28">
        <v>90878816</v>
      </c>
      <c r="B7" s="28" t="s">
        <v>65</v>
      </c>
      <c r="C7" s="28" t="s">
        <v>91</v>
      </c>
      <c r="D7" s="119">
        <v>1.0289999999999999</v>
      </c>
      <c r="E7" s="40">
        <v>0</v>
      </c>
      <c r="F7" s="40">
        <v>2</v>
      </c>
    </row>
    <row r="8" spans="1:6" ht="31" customHeight="1" x14ac:dyDescent="0.2">
      <c r="A8" s="28">
        <v>90878817</v>
      </c>
      <c r="B8" s="28" t="s">
        <v>66</v>
      </c>
      <c r="C8" s="28" t="s">
        <v>99</v>
      </c>
      <c r="D8" s="119">
        <v>2.0979999999999999</v>
      </c>
      <c r="E8" s="40">
        <v>385</v>
      </c>
      <c r="F8" s="40">
        <v>368</v>
      </c>
    </row>
    <row r="9" spans="1:6" ht="31" customHeight="1" x14ac:dyDescent="0.2">
      <c r="A9" s="28">
        <v>90878818</v>
      </c>
      <c r="B9" s="28" t="s">
        <v>57</v>
      </c>
      <c r="C9" s="28" t="s">
        <v>81</v>
      </c>
      <c r="D9" s="119">
        <v>1.335</v>
      </c>
      <c r="E9" s="40">
        <v>0</v>
      </c>
      <c r="F9" s="40">
        <v>2</v>
      </c>
    </row>
    <row r="10" spans="1:6" ht="31" customHeight="1" x14ac:dyDescent="0.2">
      <c r="A10" s="122"/>
      <c r="B10" s="28"/>
      <c r="C10" s="34"/>
      <c r="D10" s="32"/>
      <c r="E10" s="38"/>
      <c r="F10" s="40"/>
    </row>
    <row r="11" spans="1:6" ht="31" customHeight="1" x14ac:dyDescent="0.2">
      <c r="A11" s="30" t="s">
        <v>31</v>
      </c>
      <c r="B11" s="30" t="s">
        <v>115</v>
      </c>
      <c r="C11" s="31"/>
      <c r="D11" s="32"/>
      <c r="E11" s="32" t="s">
        <v>28</v>
      </c>
      <c r="F11" s="32"/>
    </row>
    <row r="12" spans="1:6" ht="31" customHeight="1" x14ac:dyDescent="0.2">
      <c r="A12" s="122" t="s">
        <v>266</v>
      </c>
      <c r="B12" s="28" t="s">
        <v>55</v>
      </c>
      <c r="C12" s="34" t="s">
        <v>144</v>
      </c>
      <c r="D12" s="28"/>
      <c r="E12" s="124">
        <v>49.8</v>
      </c>
      <c r="F12" s="124">
        <v>62.720999999999997</v>
      </c>
    </row>
    <row r="13" spans="1:6" ht="31" customHeight="1" x14ac:dyDescent="0.2">
      <c r="A13" s="30" t="s">
        <v>32</v>
      </c>
      <c r="B13" s="30" t="s">
        <v>115</v>
      </c>
      <c r="C13" s="31"/>
      <c r="D13" s="32"/>
      <c r="E13" s="32"/>
      <c r="F13" s="32"/>
    </row>
    <row r="14" spans="1:6" ht="31" customHeight="1" x14ac:dyDescent="0.2">
      <c r="A14" s="126" t="s">
        <v>267</v>
      </c>
      <c r="B14" s="33" t="s">
        <v>55</v>
      </c>
      <c r="C14" s="29" t="s">
        <v>144</v>
      </c>
      <c r="D14" s="33"/>
      <c r="E14" s="124">
        <v>69.3</v>
      </c>
      <c r="F14" s="124">
        <v>82.474000000000004</v>
      </c>
    </row>
    <row r="15" spans="1:6" ht="29" customHeight="1" x14ac:dyDescent="0.2">
      <c r="A15" s="126" t="s">
        <v>268</v>
      </c>
      <c r="B15" s="33" t="s">
        <v>117</v>
      </c>
      <c r="C15" s="34" t="s">
        <v>144</v>
      </c>
      <c r="D15" s="33"/>
      <c r="E15" s="123">
        <v>9.1999999999999993</v>
      </c>
      <c r="F15" s="123">
        <v>10.9</v>
      </c>
    </row>
    <row r="16" spans="1:6" ht="29" customHeight="1" x14ac:dyDescent="0.2">
      <c r="A16" s="122"/>
      <c r="B16" s="28"/>
      <c r="C16" s="29"/>
      <c r="D16" s="28"/>
      <c r="E16" s="28"/>
      <c r="F16" s="124"/>
    </row>
    <row r="17" spans="1:6" x14ac:dyDescent="0.2">
      <c r="A17" s="122" t="s">
        <v>27</v>
      </c>
      <c r="B17" s="167" t="s">
        <v>119</v>
      </c>
      <c r="C17" s="167"/>
      <c r="D17" s="28" t="s">
        <v>118</v>
      </c>
      <c r="E17" s="28"/>
      <c r="F17" s="28"/>
    </row>
    <row r="18" spans="1:6" ht="50" customHeight="1" x14ac:dyDescent="0.2">
      <c r="A18" s="125"/>
      <c r="B18" s="167" t="s">
        <v>17</v>
      </c>
      <c r="C18" s="167"/>
      <c r="D18" s="167"/>
      <c r="E18" s="167"/>
      <c r="F18" s="167"/>
    </row>
    <row r="20" spans="1:6" x14ac:dyDescent="0.2">
      <c r="C20" s="17"/>
    </row>
    <row r="21" spans="1:6" x14ac:dyDescent="0.2">
      <c r="C21" s="17"/>
    </row>
  </sheetData>
  <mergeCells count="3">
    <mergeCell ref="B17:C17"/>
    <mergeCell ref="B18:C18"/>
    <mergeCell ref="D18:F18"/>
  </mergeCells>
  <printOptions horizontalCentered="1" verticalCentered="1"/>
  <pageMargins left="0.75000000000000011" right="0.75000000000000011" top="1" bottom="1" header="0.5" footer="0.5"/>
  <pageSetup paperSize="9" scale="79" orientation="portrait" horizontalDpi="0" verticalDpi="0" copies="2"/>
  <headerFooter>
    <oddHeader>&amp;A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46"/>
  <sheetViews>
    <sheetView showRuler="0" workbookViewId="0">
      <selection activeCell="C34" sqref="C34:C35"/>
    </sheetView>
  </sheetViews>
  <sheetFormatPr baseColWidth="10" defaultColWidth="11" defaultRowHeight="16" x14ac:dyDescent="0.2"/>
  <cols>
    <col min="1" max="1" width="13.83203125" customWidth="1"/>
    <col min="2" max="2" width="15.5" customWidth="1"/>
    <col min="4" max="4" width="17.6640625" customWidth="1"/>
    <col min="5" max="5" width="13.5" bestFit="1" customWidth="1"/>
    <col min="6" max="6" width="13.6640625" customWidth="1"/>
    <col min="7" max="7" width="14.1640625" customWidth="1"/>
  </cols>
  <sheetData>
    <row r="1" spans="1:8" x14ac:dyDescent="0.2">
      <c r="A1" s="6" t="s">
        <v>8</v>
      </c>
      <c r="B1" s="6"/>
      <c r="C1" s="6" t="s">
        <v>22</v>
      </c>
      <c r="D1" s="6" t="s">
        <v>23</v>
      </c>
      <c r="E1" s="112" t="s">
        <v>315</v>
      </c>
    </row>
    <row r="2" spans="1:8" x14ac:dyDescent="0.2">
      <c r="E2" s="2"/>
    </row>
    <row r="3" spans="1:8" x14ac:dyDescent="0.2">
      <c r="A3" s="162" t="s">
        <v>5</v>
      </c>
      <c r="B3" s="162"/>
      <c r="C3" s="8" t="s">
        <v>6</v>
      </c>
      <c r="D3" s="8" t="s">
        <v>10</v>
      </c>
      <c r="E3" s="9" t="s">
        <v>11</v>
      </c>
      <c r="F3" s="8" t="s">
        <v>13</v>
      </c>
      <c r="G3" s="8" t="s">
        <v>14</v>
      </c>
      <c r="H3" s="8" t="s">
        <v>7</v>
      </c>
    </row>
    <row r="4" spans="1:8" x14ac:dyDescent="0.2">
      <c r="A4" t="s">
        <v>9</v>
      </c>
      <c r="C4" s="2">
        <f>SUM(Hauptabrechnung!F27*30%)</f>
        <v>948.67439716817694</v>
      </c>
      <c r="D4" s="15">
        <v>414.52</v>
      </c>
      <c r="E4" s="2">
        <f>SUM(C4/D4)</f>
        <v>2.2886094691888861</v>
      </c>
      <c r="F4" s="15">
        <v>84.32</v>
      </c>
      <c r="G4" t="s">
        <v>15</v>
      </c>
      <c r="H4" s="2">
        <f>SUM(E4*F4)</f>
        <v>192.97555044200686</v>
      </c>
    </row>
    <row r="5" spans="1:8" x14ac:dyDescent="0.2">
      <c r="A5" t="s">
        <v>12</v>
      </c>
      <c r="C5" s="2">
        <f>SUM(Hauptabrechnung!F27*70%)</f>
        <v>2213.5735933924129</v>
      </c>
      <c r="D5" s="36">
        <f>VALUE(Hauptabrechnung!D48)</f>
        <v>17664.22</v>
      </c>
      <c r="E5" s="2">
        <f>SUM(C5/D5)</f>
        <v>0.1253139732970045</v>
      </c>
      <c r="F5" s="36">
        <f>VALUE(H32)</f>
        <v>1534.3269999999998</v>
      </c>
      <c r="G5" t="s">
        <v>67</v>
      </c>
      <c r="H5" s="2">
        <f>SUM(E5*F5)</f>
        <v>192.27261270687299</v>
      </c>
    </row>
    <row r="6" spans="1:8" x14ac:dyDescent="0.2">
      <c r="C6" s="2"/>
      <c r="D6" s="15"/>
      <c r="E6" s="2"/>
      <c r="F6" s="15"/>
      <c r="H6" s="2"/>
    </row>
    <row r="7" spans="1:8" x14ac:dyDescent="0.2">
      <c r="A7" s="162" t="s">
        <v>1</v>
      </c>
      <c r="B7" s="162"/>
      <c r="C7" s="2"/>
      <c r="D7" s="15"/>
      <c r="E7" s="2"/>
      <c r="F7" s="15"/>
      <c r="H7" s="2"/>
    </row>
    <row r="8" spans="1:8" x14ac:dyDescent="0.2">
      <c r="A8" t="s">
        <v>9</v>
      </c>
      <c r="C8" s="2">
        <f>SUM(Hauptabrechnung!F33*30%)</f>
        <v>366.70126919893301</v>
      </c>
      <c r="D8" s="15">
        <v>414.52</v>
      </c>
      <c r="E8" s="2">
        <f>SUM(C8/D8)</f>
        <v>0.88464071504133224</v>
      </c>
      <c r="F8" s="15">
        <v>84.32</v>
      </c>
      <c r="G8" t="s">
        <v>15</v>
      </c>
      <c r="H8" s="2">
        <f>SUM(E8*F8)</f>
        <v>74.592905092285122</v>
      </c>
    </row>
    <row r="9" spans="1:8" x14ac:dyDescent="0.2">
      <c r="A9" t="s">
        <v>12</v>
      </c>
      <c r="C9" s="2">
        <f>SUM(Hauptabrechnung!F33*70%)</f>
        <v>855.63629479751035</v>
      </c>
      <c r="D9" s="15">
        <f>VALUE(Hauptabrechnung!D52)</f>
        <v>75.512</v>
      </c>
      <c r="E9" s="2">
        <f>SUM(C9/D9)</f>
        <v>11.331130082602902</v>
      </c>
      <c r="F9" s="15">
        <f>VALUE(H37)</f>
        <v>4.1000000000000014</v>
      </c>
      <c r="G9" t="s">
        <v>68</v>
      </c>
      <c r="H9" s="2">
        <f>SUM(E9*F9)</f>
        <v>46.457633338671918</v>
      </c>
    </row>
    <row r="10" spans="1:8" x14ac:dyDescent="0.2">
      <c r="C10" s="2"/>
      <c r="D10" s="15"/>
      <c r="E10" s="2"/>
      <c r="F10" s="15"/>
      <c r="H10" s="2"/>
    </row>
    <row r="11" spans="1:8" x14ac:dyDescent="0.2">
      <c r="A11" s="162" t="s">
        <v>4</v>
      </c>
      <c r="B11" s="162"/>
      <c r="C11" s="2">
        <f>SUM(Hauptabrechnung!C54)</f>
        <v>1307.9544454429661</v>
      </c>
      <c r="D11" s="15">
        <f>VALUE(Hauptabrechnung!B15)</f>
        <v>193.77500000000003</v>
      </c>
      <c r="E11" s="2">
        <f>SUM(C11/D11)</f>
        <v>6.7498616717479853</v>
      </c>
      <c r="F11" s="15">
        <f>VALUE(H43)</f>
        <v>13.953000000000017</v>
      </c>
      <c r="G11" t="s">
        <v>68</v>
      </c>
      <c r="H11" s="2">
        <f>SUM(E11*F11)</f>
        <v>94.180819905899753</v>
      </c>
    </row>
    <row r="12" spans="1:8" x14ac:dyDescent="0.2">
      <c r="A12" t="s">
        <v>139</v>
      </c>
    </row>
    <row r="13" spans="1:8" x14ac:dyDescent="0.2">
      <c r="A13" s="162" t="s">
        <v>3</v>
      </c>
      <c r="B13" s="162"/>
      <c r="C13" s="2">
        <f>SUM(C4+C5+C8+C9+C11)</f>
        <v>5692.5399999999991</v>
      </c>
      <c r="H13" s="2">
        <f>SUM(H4+H5+H8+H9+H11)</f>
        <v>600.47952148573665</v>
      </c>
    </row>
    <row r="14" spans="1:8" x14ac:dyDescent="0.2">
      <c r="A14" s="162" t="s">
        <v>122</v>
      </c>
      <c r="B14" s="162"/>
      <c r="H14" s="2">
        <f>VALUE([1]Gneiting!$H$13)</f>
        <v>590.81625644500139</v>
      </c>
    </row>
    <row r="15" spans="1:8" x14ac:dyDescent="0.2">
      <c r="A15" s="162" t="s">
        <v>24</v>
      </c>
      <c r="B15" s="162"/>
      <c r="H15" s="113">
        <f>SUM(H13-H14)</f>
        <v>9.6632650407352685</v>
      </c>
    </row>
    <row r="19" spans="1:8" s="21" customFormat="1" x14ac:dyDescent="0.2">
      <c r="A19" s="50" t="s">
        <v>25</v>
      </c>
      <c r="C19" s="51" t="s">
        <v>27</v>
      </c>
      <c r="D19" s="51" t="s">
        <v>54</v>
      </c>
      <c r="E19" s="51" t="s">
        <v>114</v>
      </c>
      <c r="F19" s="51"/>
      <c r="G19" s="51" t="s">
        <v>29</v>
      </c>
      <c r="H19" s="51" t="s">
        <v>30</v>
      </c>
    </row>
    <row r="20" spans="1:8" x14ac:dyDescent="0.2">
      <c r="A20" s="63">
        <v>90878820</v>
      </c>
      <c r="B20" t="s">
        <v>61</v>
      </c>
      <c r="C20" s="17"/>
      <c r="D20" t="s">
        <v>89</v>
      </c>
      <c r="E20" s="64">
        <v>1.1439999999999999</v>
      </c>
      <c r="F20" s="37"/>
      <c r="G20" s="36">
        <f>VALUE('Ablesung Gneiting'!F3)</f>
        <v>0</v>
      </c>
      <c r="H20" s="36">
        <f t="shared" ref="H20:H31" si="0">SUM(G20*E20)</f>
        <v>0</v>
      </c>
    </row>
    <row r="21" spans="1:8" x14ac:dyDescent="0.2">
      <c r="A21" s="63">
        <v>90878821</v>
      </c>
      <c r="B21" t="s">
        <v>56</v>
      </c>
      <c r="C21" s="17"/>
      <c r="D21" t="s">
        <v>90</v>
      </c>
      <c r="E21" s="64">
        <v>0.95399999999999996</v>
      </c>
      <c r="F21" s="37"/>
      <c r="G21" s="36">
        <f>VALUE('Ablesung Gneiting'!F4)</f>
        <v>0</v>
      </c>
      <c r="H21" s="36">
        <f t="shared" si="0"/>
        <v>0</v>
      </c>
    </row>
    <row r="22" spans="1:8" x14ac:dyDescent="0.2">
      <c r="A22" s="63">
        <v>90878822</v>
      </c>
      <c r="B22" t="s">
        <v>64</v>
      </c>
      <c r="C22" s="17"/>
      <c r="D22" s="132" t="s">
        <v>91</v>
      </c>
      <c r="E22" s="64">
        <v>1.0289999999999999</v>
      </c>
      <c r="F22" s="37"/>
      <c r="G22" s="36">
        <f>VALUE('Ablesung Gneiting'!F5)</f>
        <v>252</v>
      </c>
      <c r="H22" s="36">
        <f t="shared" si="0"/>
        <v>259.30799999999999</v>
      </c>
    </row>
    <row r="23" spans="1:8" x14ac:dyDescent="0.2">
      <c r="A23" s="63">
        <v>90878823</v>
      </c>
      <c r="B23" t="s">
        <v>65</v>
      </c>
      <c r="C23" s="17"/>
      <c r="D23" t="s">
        <v>81</v>
      </c>
      <c r="E23" s="64">
        <v>1.335</v>
      </c>
      <c r="F23" s="37"/>
      <c r="G23" s="36">
        <f>VALUE('Ablesung Gneiting'!F6)</f>
        <v>441</v>
      </c>
      <c r="H23" s="36">
        <f t="shared" si="0"/>
        <v>588.73500000000001</v>
      </c>
    </row>
    <row r="24" spans="1:8" x14ac:dyDescent="0.2">
      <c r="A24" s="63">
        <v>90878824</v>
      </c>
      <c r="B24" t="s">
        <v>66</v>
      </c>
      <c r="C24" s="17"/>
      <c r="D24" t="s">
        <v>81</v>
      </c>
      <c r="E24" s="64">
        <v>1.335</v>
      </c>
      <c r="F24" s="37"/>
      <c r="G24" s="36">
        <f>VALUE('Ablesung Gneiting'!F7)</f>
        <v>0</v>
      </c>
      <c r="H24" s="36">
        <f t="shared" si="0"/>
        <v>0</v>
      </c>
    </row>
    <row r="25" spans="1:8" x14ac:dyDescent="0.2">
      <c r="A25" s="63">
        <v>90878825</v>
      </c>
      <c r="B25" t="s">
        <v>71</v>
      </c>
      <c r="C25" s="17"/>
      <c r="D25" t="s">
        <v>89</v>
      </c>
      <c r="E25" s="64">
        <v>1.1439999999999999</v>
      </c>
      <c r="F25" s="37"/>
      <c r="G25" s="36">
        <f>VALUE('Ablesung Gneiting'!F8)</f>
        <v>6</v>
      </c>
      <c r="H25" s="36">
        <f t="shared" si="0"/>
        <v>6.863999999999999</v>
      </c>
    </row>
    <row r="26" spans="1:8" x14ac:dyDescent="0.2">
      <c r="A26" s="63">
        <v>90878826</v>
      </c>
      <c r="B26" t="s">
        <v>72</v>
      </c>
      <c r="C26" s="17"/>
      <c r="D26" t="s">
        <v>92</v>
      </c>
      <c r="E26" s="64">
        <v>0.81200000000000006</v>
      </c>
      <c r="F26" s="37"/>
      <c r="G26" s="36">
        <f>VALUE('Ablesung Gneiting'!F9)</f>
        <v>27</v>
      </c>
      <c r="H26" s="36">
        <f t="shared" si="0"/>
        <v>21.924000000000003</v>
      </c>
    </row>
    <row r="27" spans="1:8" x14ac:dyDescent="0.2">
      <c r="A27" s="63">
        <v>90878827</v>
      </c>
      <c r="B27" t="s">
        <v>73</v>
      </c>
      <c r="C27" s="17"/>
      <c r="D27" t="s">
        <v>89</v>
      </c>
      <c r="E27" s="64">
        <v>1.1439999999999999</v>
      </c>
      <c r="F27" s="37"/>
      <c r="G27" s="36">
        <f>VALUE('Ablesung Gneiting'!F10)</f>
        <v>148</v>
      </c>
      <c r="H27" s="36">
        <f t="shared" si="0"/>
        <v>169.31199999999998</v>
      </c>
    </row>
    <row r="28" spans="1:8" x14ac:dyDescent="0.2">
      <c r="A28" s="63">
        <v>90878828</v>
      </c>
      <c r="B28" t="s">
        <v>74</v>
      </c>
      <c r="C28" s="17"/>
      <c r="D28" t="s">
        <v>89</v>
      </c>
      <c r="E28" s="64">
        <v>1.1439999999999999</v>
      </c>
      <c r="F28" s="37"/>
      <c r="G28" s="36">
        <f>VALUE('Ablesung Gneiting'!F11)</f>
        <v>145</v>
      </c>
      <c r="H28" s="36">
        <f t="shared" si="0"/>
        <v>165.88</v>
      </c>
    </row>
    <row r="29" spans="1:8" x14ac:dyDescent="0.2">
      <c r="A29" s="63">
        <v>90878829</v>
      </c>
      <c r="B29" t="s">
        <v>75</v>
      </c>
      <c r="C29" s="17"/>
      <c r="D29" t="s">
        <v>93</v>
      </c>
      <c r="E29" s="64">
        <v>1.3440000000000001</v>
      </c>
      <c r="F29" s="37"/>
      <c r="G29" s="36">
        <f>VALUE('Ablesung Gneiting'!F12)</f>
        <v>85</v>
      </c>
      <c r="H29" s="36">
        <f t="shared" si="0"/>
        <v>114.24000000000001</v>
      </c>
    </row>
    <row r="30" spans="1:8" x14ac:dyDescent="0.2">
      <c r="A30" s="63">
        <v>90878830</v>
      </c>
      <c r="B30" t="s">
        <v>76</v>
      </c>
      <c r="C30" s="17"/>
      <c r="D30" t="s">
        <v>93</v>
      </c>
      <c r="E30" s="64">
        <v>1.3440000000000001</v>
      </c>
      <c r="F30" s="37"/>
      <c r="G30" s="36">
        <f>VALUE('Ablesung Gneiting'!F13)</f>
        <v>148</v>
      </c>
      <c r="H30" s="36">
        <f t="shared" si="0"/>
        <v>198.91200000000001</v>
      </c>
    </row>
    <row r="31" spans="1:8" x14ac:dyDescent="0.2">
      <c r="A31" s="63">
        <v>90878831</v>
      </c>
      <c r="B31" t="s">
        <v>77</v>
      </c>
      <c r="C31" s="17"/>
      <c r="D31" t="s">
        <v>89</v>
      </c>
      <c r="E31" s="64">
        <v>1.1439999999999999</v>
      </c>
      <c r="F31" s="37"/>
      <c r="G31" s="36">
        <f>VALUE('Ablesung Gneiting'!F14)</f>
        <v>8</v>
      </c>
      <c r="H31" s="36">
        <f t="shared" si="0"/>
        <v>9.1519999999999992</v>
      </c>
    </row>
    <row r="32" spans="1:8" x14ac:dyDescent="0.2">
      <c r="A32" s="12" t="s">
        <v>30</v>
      </c>
      <c r="C32" s="10"/>
      <c r="F32" s="36"/>
      <c r="G32" s="47" t="s">
        <v>35</v>
      </c>
      <c r="H32" s="36">
        <f>SUM(H28+H29+H30+H31+H20+H21+H22+H23+H24+H25+H26+H27)</f>
        <v>1534.3269999999998</v>
      </c>
    </row>
    <row r="33" spans="1:8" x14ac:dyDescent="0.2">
      <c r="A33" s="12"/>
      <c r="C33" s="10"/>
      <c r="F33" s="3"/>
    </row>
    <row r="34" spans="1:8" s="21" customFormat="1" x14ac:dyDescent="0.2">
      <c r="A34" s="50" t="s">
        <v>31</v>
      </c>
      <c r="C34" s="55" t="s">
        <v>27</v>
      </c>
      <c r="D34" s="51" t="s">
        <v>131</v>
      </c>
      <c r="E34" s="51" t="s">
        <v>114</v>
      </c>
      <c r="F34" s="51" t="s">
        <v>28</v>
      </c>
      <c r="G34" s="56" t="s">
        <v>29</v>
      </c>
      <c r="H34" s="51" t="s">
        <v>30</v>
      </c>
    </row>
    <row r="35" spans="1:8" x14ac:dyDescent="0.2">
      <c r="A35" s="12" t="s">
        <v>269</v>
      </c>
      <c r="B35" t="s">
        <v>26</v>
      </c>
      <c r="C35" s="17"/>
      <c r="D35" t="s">
        <v>133</v>
      </c>
      <c r="E35" s="41">
        <v>1</v>
      </c>
      <c r="F35" s="41">
        <f>VALUE('Ablesung Gneiting'!E17)</f>
        <v>43.4</v>
      </c>
      <c r="G35" s="41">
        <f>VALUE('Ablesung Gneiting'!F17)</f>
        <v>46.994</v>
      </c>
      <c r="H35" s="41">
        <f>SUM(G35-F35)</f>
        <v>3.5940000000000012</v>
      </c>
    </row>
    <row r="36" spans="1:8" x14ac:dyDescent="0.2">
      <c r="A36" s="12" t="s">
        <v>270</v>
      </c>
      <c r="B36" t="s">
        <v>48</v>
      </c>
      <c r="C36" s="17"/>
      <c r="D36" t="s">
        <v>133</v>
      </c>
      <c r="E36" s="41">
        <v>1</v>
      </c>
      <c r="F36" s="41">
        <f>VALUE('Ablesung Gneiting'!E18)</f>
        <v>19</v>
      </c>
      <c r="G36" s="41">
        <f>VALUE('Ablesung Gneiting'!F18)</f>
        <v>19.506</v>
      </c>
      <c r="H36" s="41">
        <f>SUM(G36-F36)</f>
        <v>0.50600000000000023</v>
      </c>
    </row>
    <row r="37" spans="1:8" x14ac:dyDescent="0.2">
      <c r="A37" s="12"/>
      <c r="C37" s="10"/>
      <c r="E37" s="41"/>
      <c r="F37" s="41"/>
      <c r="G37" s="43" t="s">
        <v>35</v>
      </c>
      <c r="H37" s="41">
        <f>SUM(H36+H35)</f>
        <v>4.1000000000000014</v>
      </c>
    </row>
    <row r="38" spans="1:8" x14ac:dyDescent="0.2">
      <c r="A38" s="12"/>
      <c r="C38" s="10"/>
      <c r="E38" s="41"/>
      <c r="F38" s="41"/>
      <c r="G38" s="41"/>
      <c r="H38" s="41"/>
    </row>
    <row r="39" spans="1:8" x14ac:dyDescent="0.2">
      <c r="A39" s="50" t="s">
        <v>32</v>
      </c>
      <c r="C39" s="55" t="s">
        <v>27</v>
      </c>
      <c r="D39" s="51" t="s">
        <v>132</v>
      </c>
      <c r="E39" s="57" t="s">
        <v>114</v>
      </c>
      <c r="F39" s="57" t="s">
        <v>28</v>
      </c>
      <c r="G39" s="57" t="s">
        <v>29</v>
      </c>
      <c r="H39" s="57" t="s">
        <v>30</v>
      </c>
    </row>
    <row r="40" spans="1:8" x14ac:dyDescent="0.2">
      <c r="A40" s="12" t="s">
        <v>49</v>
      </c>
      <c r="B40" t="s">
        <v>26</v>
      </c>
      <c r="C40" s="17"/>
      <c r="D40" t="s">
        <v>133</v>
      </c>
      <c r="E40" s="41">
        <v>1</v>
      </c>
      <c r="F40" s="41">
        <f>VALUE('Ablesung Gneiting'!E20)</f>
        <v>34.799999999999997</v>
      </c>
      <c r="G40" s="41">
        <f>VALUE('Ablesung Gneiting'!F20)</f>
        <v>36.831000000000003</v>
      </c>
      <c r="H40" s="41">
        <f t="shared" ref="H40:H41" si="1">SUM(G40-F40)</f>
        <v>2.0310000000000059</v>
      </c>
    </row>
    <row r="41" spans="1:8" x14ac:dyDescent="0.2">
      <c r="A41" s="12" t="s">
        <v>50</v>
      </c>
      <c r="B41" t="s">
        <v>48</v>
      </c>
      <c r="C41" s="17"/>
      <c r="D41" t="s">
        <v>133</v>
      </c>
      <c r="E41" s="41">
        <v>1</v>
      </c>
      <c r="F41" s="41">
        <f>VALUE('Ablesung Gneiting'!E21)</f>
        <v>435.4</v>
      </c>
      <c r="G41" s="41">
        <f>VALUE('Ablesung Gneiting'!F21)</f>
        <v>445.15199999999999</v>
      </c>
      <c r="H41" s="41">
        <f t="shared" si="1"/>
        <v>9.7520000000000095</v>
      </c>
    </row>
    <row r="42" spans="1:8" x14ac:dyDescent="0.2">
      <c r="A42" s="12" t="s">
        <v>51</v>
      </c>
      <c r="B42" t="s">
        <v>34</v>
      </c>
      <c r="C42" s="17"/>
      <c r="D42" t="s">
        <v>133</v>
      </c>
      <c r="E42" s="41">
        <v>1</v>
      </c>
      <c r="F42" s="41">
        <f>VALUE('Ablesung Gneiting'!E22)</f>
        <v>50.1</v>
      </c>
      <c r="G42" s="41">
        <f>VALUE('Ablesung Gneiting'!F22)</f>
        <v>52.27</v>
      </c>
      <c r="H42" s="41">
        <f>SUM(G42-F42)</f>
        <v>2.1700000000000017</v>
      </c>
    </row>
    <row r="43" spans="1:8" x14ac:dyDescent="0.2">
      <c r="A43" s="12"/>
      <c r="C43" s="10"/>
      <c r="E43" s="41"/>
      <c r="F43" s="41"/>
      <c r="G43" s="43" t="s">
        <v>35</v>
      </c>
      <c r="H43" s="41">
        <f>SUM(H40+H42+H41)</f>
        <v>13.953000000000017</v>
      </c>
    </row>
    <row r="44" spans="1:8" x14ac:dyDescent="0.2">
      <c r="A44" s="12"/>
      <c r="C44" s="10"/>
      <c r="F44" s="3"/>
    </row>
    <row r="45" spans="1:8" x14ac:dyDescent="0.2">
      <c r="A45" s="12"/>
      <c r="C45" s="10"/>
      <c r="F45" s="3"/>
    </row>
    <row r="46" spans="1:8" x14ac:dyDescent="0.2">
      <c r="A46" s="12"/>
      <c r="C46" s="10"/>
      <c r="F46" s="3"/>
    </row>
  </sheetData>
  <mergeCells count="6">
    <mergeCell ref="A15:B15"/>
    <mergeCell ref="A3:B3"/>
    <mergeCell ref="A7:B7"/>
    <mergeCell ref="A11:B11"/>
    <mergeCell ref="A13:B13"/>
    <mergeCell ref="A14:B14"/>
  </mergeCells>
  <phoneticPr fontId="3" type="noConversion"/>
  <printOptions horizontalCentered="1" verticalCentered="1"/>
  <pageMargins left="0.2" right="0.2" top="0.2" bottom="0.2" header="0.2" footer="0.51"/>
  <pageSetup paperSize="9" scale="85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29"/>
  <sheetViews>
    <sheetView showRuler="0" topLeftCell="A10" workbookViewId="0">
      <selection activeCell="C30" sqref="C30"/>
    </sheetView>
  </sheetViews>
  <sheetFormatPr baseColWidth="10" defaultRowHeight="13" x14ac:dyDescent="0.15"/>
  <cols>
    <col min="1" max="1" width="26.33203125" style="70" customWidth="1"/>
    <col min="2" max="2" width="8.5" style="71" customWidth="1"/>
    <col min="3" max="3" width="10.83203125" style="72"/>
    <col min="4" max="4" width="9.33203125" style="72" customWidth="1"/>
    <col min="5" max="5" width="18" style="70" customWidth="1"/>
    <col min="6" max="6" width="9.6640625" style="70" customWidth="1"/>
    <col min="7" max="7" width="18.5" style="93" customWidth="1"/>
    <col min="8" max="16384" width="10.83203125" style="72"/>
  </cols>
  <sheetData>
    <row r="1" spans="1:7" s="69" customFormat="1" ht="16" x14ac:dyDescent="0.2">
      <c r="A1" s="163" t="s">
        <v>196</v>
      </c>
      <c r="B1" s="163"/>
      <c r="C1" s="163"/>
      <c r="D1" s="163"/>
      <c r="E1" s="163"/>
      <c r="F1" s="163"/>
      <c r="G1" s="163"/>
    </row>
    <row r="2" spans="1:7" s="69" customFormat="1" ht="16" x14ac:dyDescent="0.2">
      <c r="A2" s="100"/>
      <c r="B2" s="100"/>
      <c r="C2" s="100"/>
      <c r="D2" s="100"/>
      <c r="E2" s="100"/>
      <c r="F2" s="100"/>
      <c r="G2" s="100"/>
    </row>
    <row r="3" spans="1:7" s="76" customFormat="1" ht="56" x14ac:dyDescent="0.15">
      <c r="A3" s="74" t="s">
        <v>237</v>
      </c>
      <c r="B3" s="75"/>
      <c r="E3" s="74"/>
      <c r="F3" s="74"/>
      <c r="G3" s="77">
        <f ca="1">TODAY()</f>
        <v>46119</v>
      </c>
    </row>
    <row r="4" spans="1:7" s="78" customFormat="1" ht="24.75" customHeight="1" x14ac:dyDescent="0.25">
      <c r="A4" s="164" t="s">
        <v>313</v>
      </c>
      <c r="B4" s="164"/>
      <c r="C4" s="164"/>
      <c r="D4" s="164"/>
      <c r="E4" s="164"/>
      <c r="F4" s="164"/>
      <c r="G4" s="164"/>
    </row>
    <row r="5" spans="1:7" s="69" customFormat="1" ht="21" customHeight="1" x14ac:dyDescent="0.15">
      <c r="A5" s="79" t="s">
        <v>235</v>
      </c>
      <c r="B5" s="80"/>
      <c r="E5" s="79"/>
      <c r="F5" s="79" t="s">
        <v>309</v>
      </c>
      <c r="G5" s="81" t="s">
        <v>314</v>
      </c>
    </row>
    <row r="6" spans="1:7" s="84" customFormat="1" ht="14.25" customHeight="1" x14ac:dyDescent="0.2">
      <c r="A6" s="82" t="s">
        <v>279</v>
      </c>
      <c r="B6" s="82"/>
      <c r="C6" s="82"/>
      <c r="D6" s="82"/>
      <c r="E6" s="82"/>
      <c r="F6" s="82"/>
      <c r="G6" s="82"/>
    </row>
    <row r="7" spans="1:7" x14ac:dyDescent="0.15">
      <c r="A7" s="70" t="s">
        <v>200</v>
      </c>
      <c r="C7" s="72" t="s">
        <v>201</v>
      </c>
      <c r="D7" s="72" t="s">
        <v>3</v>
      </c>
      <c r="E7" s="70" t="s">
        <v>202</v>
      </c>
      <c r="F7" s="70" t="s">
        <v>203</v>
      </c>
      <c r="G7" s="73" t="s">
        <v>236</v>
      </c>
    </row>
    <row r="8" spans="1:7" x14ac:dyDescent="0.15">
      <c r="D8" s="72" t="s">
        <v>205</v>
      </c>
      <c r="F8" s="70" t="s">
        <v>205</v>
      </c>
      <c r="G8" s="73"/>
    </row>
    <row r="9" spans="1:7" s="88" customFormat="1" x14ac:dyDescent="0.2">
      <c r="A9" s="86" t="s">
        <v>279</v>
      </c>
      <c r="B9" s="86"/>
      <c r="C9" s="86"/>
      <c r="D9" s="86"/>
      <c r="E9" s="86"/>
      <c r="F9" s="86"/>
      <c r="G9" s="86"/>
    </row>
    <row r="10" spans="1:7" x14ac:dyDescent="0.15">
      <c r="A10" s="70" t="s">
        <v>206</v>
      </c>
      <c r="B10" s="70"/>
      <c r="C10" s="71">
        <f>VALUE('Zahlungen 2025'!I19)</f>
        <v>2400</v>
      </c>
      <c r="D10" s="90">
        <v>6</v>
      </c>
      <c r="E10" s="70" t="s">
        <v>207</v>
      </c>
      <c r="F10" s="91" t="s">
        <v>208</v>
      </c>
      <c r="G10" s="92">
        <f>SUM(C10/D10*F10)</f>
        <v>400</v>
      </c>
    </row>
    <row r="11" spans="1:7" x14ac:dyDescent="0.15">
      <c r="C11" s="71"/>
      <c r="D11" s="90"/>
      <c r="F11" s="91"/>
      <c r="G11" s="92"/>
    </row>
    <row r="12" spans="1:7" x14ac:dyDescent="0.15">
      <c r="A12" s="70" t="s">
        <v>209</v>
      </c>
      <c r="C12" s="71">
        <f>VALUE(Hauptabrechnung!$F$41)</f>
        <v>5692.54</v>
      </c>
      <c r="D12" s="90">
        <v>1</v>
      </c>
      <c r="E12" s="70" t="s">
        <v>210</v>
      </c>
      <c r="F12" s="91" t="s">
        <v>208</v>
      </c>
      <c r="G12" s="92">
        <f>VALUE(Gneiting!$H$13)</f>
        <v>600.47952148573665</v>
      </c>
    </row>
    <row r="13" spans="1:7" x14ac:dyDescent="0.15">
      <c r="C13" s="71"/>
      <c r="D13" s="90"/>
      <c r="F13" s="91"/>
      <c r="G13" s="92"/>
    </row>
    <row r="14" spans="1:7" x14ac:dyDescent="0.15">
      <c r="A14" s="86" t="s">
        <v>211</v>
      </c>
      <c r="B14" s="87"/>
      <c r="C14" s="93">
        <f>SUM(C15+C16+C18)</f>
        <v>404.76</v>
      </c>
      <c r="D14" s="90">
        <v>6</v>
      </c>
      <c r="E14" s="70" t="s">
        <v>207</v>
      </c>
      <c r="F14" s="91" t="s">
        <v>208</v>
      </c>
      <c r="G14" s="92">
        <f>SUM(C14/D14*F14)</f>
        <v>67.459999999999994</v>
      </c>
    </row>
    <row r="15" spans="1:7" x14ac:dyDescent="0.15">
      <c r="A15" s="70" t="s">
        <v>212</v>
      </c>
      <c r="C15" s="93">
        <f>VALUE('Zahlungen 2025'!D42)</f>
        <v>99.81</v>
      </c>
      <c r="D15" s="90"/>
      <c r="F15" s="91"/>
      <c r="G15" s="92"/>
    </row>
    <row r="16" spans="1:7" x14ac:dyDescent="0.15">
      <c r="A16" s="70" t="s">
        <v>238</v>
      </c>
      <c r="C16" s="93">
        <f>VALUE('Zahlungen 2025'!I42)</f>
        <v>304.95</v>
      </c>
      <c r="D16" s="90"/>
      <c r="F16" s="91"/>
      <c r="G16" s="92"/>
    </row>
    <row r="17" spans="1:7" x14ac:dyDescent="0.15">
      <c r="C17" s="93"/>
      <c r="D17" s="90"/>
      <c r="F17" s="91"/>
      <c r="G17" s="92"/>
    </row>
    <row r="18" spans="1:7" x14ac:dyDescent="0.15">
      <c r="C18" s="93"/>
      <c r="D18" s="90"/>
      <c r="F18" s="91"/>
      <c r="G18" s="92"/>
    </row>
    <row r="19" spans="1:7" x14ac:dyDescent="0.15">
      <c r="A19" s="70" t="s">
        <v>214</v>
      </c>
      <c r="C19" s="71">
        <f>VALUE('Zahlungen 2025'!B42)</f>
        <v>526.29999999999995</v>
      </c>
      <c r="D19" s="90">
        <v>6</v>
      </c>
      <c r="E19" s="70" t="s">
        <v>207</v>
      </c>
      <c r="F19" s="91" t="s">
        <v>208</v>
      </c>
      <c r="G19" s="92">
        <f>SUM(C19/D19*F19)</f>
        <v>87.716666666666654</v>
      </c>
    </row>
    <row r="20" spans="1:7" x14ac:dyDescent="0.15">
      <c r="C20" s="71"/>
      <c r="D20" s="90"/>
      <c r="F20" s="91"/>
      <c r="G20" s="92"/>
    </row>
    <row r="21" spans="1:7" x14ac:dyDescent="0.15">
      <c r="A21" s="70" t="s">
        <v>215</v>
      </c>
      <c r="C21" s="71">
        <f>VALUE('Zahlungen 2025'!F42)</f>
        <v>496.8</v>
      </c>
      <c r="D21" s="90">
        <v>10</v>
      </c>
      <c r="E21" s="70" t="s">
        <v>227</v>
      </c>
      <c r="F21" s="91" t="s">
        <v>208</v>
      </c>
      <c r="G21" s="92">
        <f t="shared" ref="G21:G23" si="0">SUM(C21/D21*F21)</f>
        <v>49.68</v>
      </c>
    </row>
    <row r="22" spans="1:7" x14ac:dyDescent="0.15">
      <c r="C22" s="71"/>
      <c r="D22" s="90"/>
      <c r="F22" s="91"/>
      <c r="G22" s="92"/>
    </row>
    <row r="23" spans="1:7" x14ac:dyDescent="0.15">
      <c r="A23" s="70" t="s">
        <v>307</v>
      </c>
      <c r="C23" s="138">
        <v>0</v>
      </c>
      <c r="D23" s="90">
        <v>6</v>
      </c>
      <c r="E23" s="70" t="s">
        <v>207</v>
      </c>
      <c r="F23" s="91" t="s">
        <v>208</v>
      </c>
      <c r="G23" s="92">
        <f t="shared" si="0"/>
        <v>0</v>
      </c>
    </row>
    <row r="24" spans="1:7" x14ac:dyDescent="0.15">
      <c r="C24" s="71"/>
      <c r="D24" s="90"/>
      <c r="F24" s="91"/>
      <c r="G24" s="92"/>
    </row>
    <row r="25" spans="1:7" x14ac:dyDescent="0.15">
      <c r="A25" s="79" t="s">
        <v>217</v>
      </c>
      <c r="B25" s="80"/>
      <c r="C25" s="71">
        <f>SUM(C26+C27)</f>
        <v>1787.29</v>
      </c>
      <c r="D25" s="90">
        <v>6</v>
      </c>
      <c r="E25" s="70" t="s">
        <v>218</v>
      </c>
      <c r="F25" s="91" t="s">
        <v>208</v>
      </c>
      <c r="G25" s="92">
        <f>SUM(C25/D25*F25)</f>
        <v>297.88166666666666</v>
      </c>
    </row>
    <row r="26" spans="1:7" x14ac:dyDescent="0.15">
      <c r="A26" s="70" t="s">
        <v>219</v>
      </c>
      <c r="C26" s="71">
        <f>VALUE('Zahlungen 2025'!C24)</f>
        <v>1726.84</v>
      </c>
      <c r="D26" s="90"/>
      <c r="F26" s="91"/>
      <c r="G26" s="92"/>
    </row>
    <row r="27" spans="1:7" x14ac:dyDescent="0.15">
      <c r="A27" s="70" t="s">
        <v>220</v>
      </c>
      <c r="C27" s="71">
        <f>VALUE('Zahlungen 2025'!C23)</f>
        <v>60.45</v>
      </c>
      <c r="D27" s="90"/>
      <c r="F27" s="91"/>
      <c r="G27" s="92"/>
    </row>
    <row r="28" spans="1:7" x14ac:dyDescent="0.15">
      <c r="C28" s="71"/>
      <c r="D28" s="90"/>
      <c r="F28" s="91"/>
      <c r="G28" s="92"/>
    </row>
    <row r="29" spans="1:7" x14ac:dyDescent="0.15">
      <c r="A29" s="70" t="s">
        <v>222</v>
      </c>
      <c r="B29" s="70"/>
      <c r="C29" s="71">
        <v>0</v>
      </c>
      <c r="D29" s="90">
        <v>6</v>
      </c>
      <c r="E29" s="70" t="s">
        <v>207</v>
      </c>
      <c r="F29" s="91" t="s">
        <v>208</v>
      </c>
      <c r="G29" s="92">
        <f>SUM(C29/D29*F29)</f>
        <v>0</v>
      </c>
    </row>
    <row r="30" spans="1:7" x14ac:dyDescent="0.15">
      <c r="C30" s="71"/>
      <c r="D30" s="90"/>
      <c r="F30" s="91"/>
      <c r="G30" s="92"/>
    </row>
    <row r="31" spans="1:7" x14ac:dyDescent="0.15">
      <c r="A31" s="70" t="s">
        <v>216</v>
      </c>
      <c r="C31" s="71">
        <f>VALUE('Zahlungen 2025'!H42)</f>
        <v>50</v>
      </c>
      <c r="D31" s="90">
        <v>6</v>
      </c>
      <c r="E31" s="70" t="s">
        <v>207</v>
      </c>
      <c r="F31" s="91" t="s">
        <v>208</v>
      </c>
      <c r="G31" s="92">
        <f>C31/D31</f>
        <v>8.3333333333333339</v>
      </c>
    </row>
    <row r="32" spans="1:7" x14ac:dyDescent="0.15">
      <c r="C32" s="71"/>
      <c r="D32" s="90"/>
      <c r="F32" s="91"/>
      <c r="G32" s="92"/>
    </row>
    <row r="33" spans="1:7" x14ac:dyDescent="0.15">
      <c r="A33" s="70" t="s">
        <v>221</v>
      </c>
      <c r="C33" s="71">
        <f>VALUE('Zahlungen 2025'!E42)</f>
        <v>172.95000000000002</v>
      </c>
      <c r="D33" s="90">
        <v>6</v>
      </c>
      <c r="E33" s="70" t="s">
        <v>207</v>
      </c>
      <c r="F33" s="91" t="s">
        <v>208</v>
      </c>
      <c r="G33" s="92">
        <f>C33/D33</f>
        <v>28.825000000000003</v>
      </c>
    </row>
    <row r="34" spans="1:7" x14ac:dyDescent="0.15">
      <c r="C34" s="71"/>
      <c r="D34" s="90"/>
      <c r="F34" s="91"/>
      <c r="G34" s="92"/>
    </row>
    <row r="35" spans="1:7" x14ac:dyDescent="0.15">
      <c r="A35" s="70" t="s">
        <v>302</v>
      </c>
      <c r="C35" s="71">
        <f>VALUE('Zahlungen 2025'!J19)</f>
        <v>6000</v>
      </c>
      <c r="D35" s="151">
        <v>6</v>
      </c>
      <c r="E35" s="152" t="s">
        <v>207</v>
      </c>
      <c r="F35" s="153" t="s">
        <v>208</v>
      </c>
      <c r="G35" s="92">
        <f>SUM(C35/D35*F35)</f>
        <v>1000</v>
      </c>
    </row>
    <row r="36" spans="1:7" s="88" customFormat="1" x14ac:dyDescent="0.15">
      <c r="A36" s="70"/>
      <c r="B36" s="71"/>
      <c r="C36" s="71"/>
      <c r="D36" s="90"/>
      <c r="E36" s="70"/>
      <c r="F36" s="91"/>
      <c r="G36" s="92"/>
    </row>
    <row r="37" spans="1:7" x14ac:dyDescent="0.15">
      <c r="A37" s="79" t="s">
        <v>3</v>
      </c>
      <c r="C37" s="71">
        <f>SUM(C10+C12+C14+C19+C21+C23+C25+C29+C31+C33+C35)</f>
        <v>17530.64</v>
      </c>
      <c r="D37" s="90"/>
      <c r="F37" s="91"/>
      <c r="G37" s="92">
        <f>SUM(G10+G12+G14+G19+G21+G22+G23+G25+G29+G31+G33+G35)</f>
        <v>2540.3761881524033</v>
      </c>
    </row>
    <row r="38" spans="1:7" s="88" customFormat="1" ht="13.5" customHeight="1" x14ac:dyDescent="0.15">
      <c r="A38" s="70" t="s">
        <v>140</v>
      </c>
      <c r="B38" s="71"/>
      <c r="C38" s="71"/>
      <c r="D38" s="90"/>
      <c r="E38" s="70"/>
      <c r="F38" s="91"/>
      <c r="G38" s="92"/>
    </row>
    <row r="39" spans="1:7" x14ac:dyDescent="0.15">
      <c r="C39" s="71"/>
      <c r="D39" s="90"/>
      <c r="F39" s="91"/>
      <c r="G39" s="92"/>
    </row>
    <row r="40" spans="1:7" x14ac:dyDescent="0.15">
      <c r="A40" s="70" t="s">
        <v>311</v>
      </c>
      <c r="B40" s="70"/>
      <c r="C40" s="71"/>
      <c r="D40" s="90"/>
      <c r="G40" s="93">
        <f>VALUE('Zahlungen 2025'!G19)</f>
        <v>2640</v>
      </c>
    </row>
    <row r="41" spans="1:7" x14ac:dyDescent="0.15">
      <c r="A41" s="86" t="s">
        <v>140</v>
      </c>
      <c r="B41" s="86"/>
      <c r="C41" s="86"/>
      <c r="D41" s="86"/>
      <c r="E41" s="86"/>
      <c r="F41" s="86"/>
    </row>
    <row r="42" spans="1:7" x14ac:dyDescent="0.15">
      <c r="A42" s="86"/>
      <c r="B42" s="86"/>
      <c r="C42" s="86"/>
      <c r="D42" s="86"/>
      <c r="E42" s="86"/>
      <c r="F42" s="86"/>
      <c r="G42" s="102"/>
    </row>
    <row r="43" spans="1:7" x14ac:dyDescent="0.15">
      <c r="A43" s="79" t="s">
        <v>223</v>
      </c>
      <c r="C43" s="71"/>
      <c r="D43" s="90"/>
      <c r="E43" s="70" t="s">
        <v>296</v>
      </c>
      <c r="G43" s="97">
        <f>SUM(G40-G37)</f>
        <v>99.623811847596698</v>
      </c>
    </row>
    <row r="44" spans="1:7" x14ac:dyDescent="0.15">
      <c r="C44" s="71"/>
      <c r="D44" s="90"/>
      <c r="F44" s="91"/>
      <c r="G44" s="102"/>
    </row>
    <row r="45" spans="1:7" x14ac:dyDescent="0.15">
      <c r="G45" s="103"/>
    </row>
    <row r="46" spans="1:7" x14ac:dyDescent="0.15">
      <c r="G46" s="103"/>
    </row>
    <row r="47" spans="1:7" x14ac:dyDescent="0.15">
      <c r="A47" s="165" t="s">
        <v>239</v>
      </c>
      <c r="B47" s="165"/>
      <c r="C47" s="165"/>
      <c r="D47" s="165"/>
      <c r="E47" s="165"/>
      <c r="F47" s="165"/>
      <c r="G47" s="165"/>
    </row>
    <row r="48" spans="1:7" x14ac:dyDescent="0.15">
      <c r="A48" s="166" t="s">
        <v>224</v>
      </c>
      <c r="B48" s="166"/>
      <c r="C48" s="166"/>
      <c r="D48" s="166"/>
      <c r="E48" s="166"/>
      <c r="F48" s="166"/>
      <c r="G48" s="166"/>
    </row>
    <row r="49" spans="3:3" x14ac:dyDescent="0.15">
      <c r="C49" s="71"/>
    </row>
    <row r="50" spans="3:3" x14ac:dyDescent="0.15">
      <c r="C50" s="71"/>
    </row>
    <row r="51" spans="3:3" x14ac:dyDescent="0.15">
      <c r="C51" s="71"/>
    </row>
    <row r="52" spans="3:3" x14ac:dyDescent="0.15">
      <c r="C52" s="71"/>
    </row>
    <row r="53" spans="3:3" x14ac:dyDescent="0.15">
      <c r="C53" s="71"/>
    </row>
    <row r="54" spans="3:3" x14ac:dyDescent="0.15">
      <c r="C54" s="71"/>
    </row>
    <row r="55" spans="3:3" x14ac:dyDescent="0.15">
      <c r="C55" s="71"/>
    </row>
    <row r="56" spans="3:3" x14ac:dyDescent="0.15">
      <c r="C56" s="71"/>
    </row>
    <row r="57" spans="3:3" x14ac:dyDescent="0.15">
      <c r="C57" s="71"/>
    </row>
    <row r="58" spans="3:3" x14ac:dyDescent="0.15">
      <c r="C58" s="71"/>
    </row>
    <row r="59" spans="3:3" x14ac:dyDescent="0.15">
      <c r="C59" s="71"/>
    </row>
    <row r="60" spans="3:3" x14ac:dyDescent="0.15">
      <c r="C60" s="71"/>
    </row>
    <row r="61" spans="3:3" x14ac:dyDescent="0.15">
      <c r="C61" s="71"/>
    </row>
    <row r="62" spans="3:3" x14ac:dyDescent="0.15">
      <c r="C62" s="71"/>
    </row>
    <row r="63" spans="3:3" x14ac:dyDescent="0.15">
      <c r="C63" s="71"/>
    </row>
    <row r="64" spans="3:3" x14ac:dyDescent="0.15">
      <c r="C64" s="71"/>
    </row>
    <row r="65" spans="3:3" x14ac:dyDescent="0.15">
      <c r="C65" s="71"/>
    </row>
    <row r="66" spans="3:3" x14ac:dyDescent="0.15">
      <c r="C66" s="71"/>
    </row>
    <row r="67" spans="3:3" x14ac:dyDescent="0.15">
      <c r="C67" s="71"/>
    </row>
    <row r="68" spans="3:3" x14ac:dyDescent="0.15">
      <c r="C68" s="71"/>
    </row>
    <row r="69" spans="3:3" x14ac:dyDescent="0.15">
      <c r="C69" s="71"/>
    </row>
    <row r="70" spans="3:3" x14ac:dyDescent="0.15">
      <c r="C70" s="71"/>
    </row>
    <row r="71" spans="3:3" x14ac:dyDescent="0.15">
      <c r="C71" s="71"/>
    </row>
    <row r="72" spans="3:3" x14ac:dyDescent="0.15">
      <c r="C72" s="71"/>
    </row>
    <row r="73" spans="3:3" x14ac:dyDescent="0.15">
      <c r="C73" s="71"/>
    </row>
    <row r="74" spans="3:3" x14ac:dyDescent="0.15">
      <c r="C74" s="71"/>
    </row>
    <row r="75" spans="3:3" x14ac:dyDescent="0.15">
      <c r="C75" s="71"/>
    </row>
    <row r="76" spans="3:3" x14ac:dyDescent="0.15">
      <c r="C76" s="71"/>
    </row>
    <row r="77" spans="3:3" x14ac:dyDescent="0.15">
      <c r="C77" s="71"/>
    </row>
    <row r="78" spans="3:3" x14ac:dyDescent="0.15">
      <c r="C78" s="71"/>
    </row>
    <row r="79" spans="3:3" x14ac:dyDescent="0.15">
      <c r="C79" s="71"/>
    </row>
    <row r="80" spans="3:3" x14ac:dyDescent="0.15">
      <c r="C80" s="71"/>
    </row>
    <row r="81" spans="3:3" x14ac:dyDescent="0.15">
      <c r="C81" s="71"/>
    </row>
    <row r="82" spans="3:3" x14ac:dyDescent="0.15">
      <c r="C82" s="71"/>
    </row>
    <row r="83" spans="3:3" x14ac:dyDescent="0.15">
      <c r="C83" s="71"/>
    </row>
    <row r="84" spans="3:3" x14ac:dyDescent="0.15">
      <c r="C84" s="71"/>
    </row>
    <row r="85" spans="3:3" x14ac:dyDescent="0.15">
      <c r="C85" s="71"/>
    </row>
    <row r="86" spans="3:3" x14ac:dyDescent="0.15">
      <c r="C86" s="71"/>
    </row>
    <row r="87" spans="3:3" x14ac:dyDescent="0.15">
      <c r="C87" s="71"/>
    </row>
    <row r="88" spans="3:3" x14ac:dyDescent="0.15">
      <c r="C88" s="71"/>
    </row>
    <row r="89" spans="3:3" x14ac:dyDescent="0.15">
      <c r="C89" s="71"/>
    </row>
    <row r="90" spans="3:3" x14ac:dyDescent="0.15">
      <c r="C90" s="71"/>
    </row>
    <row r="91" spans="3:3" x14ac:dyDescent="0.15">
      <c r="C91" s="71"/>
    </row>
    <row r="92" spans="3:3" x14ac:dyDescent="0.15">
      <c r="C92" s="71"/>
    </row>
    <row r="93" spans="3:3" x14ac:dyDescent="0.15">
      <c r="C93" s="71"/>
    </row>
    <row r="94" spans="3:3" x14ac:dyDescent="0.15">
      <c r="C94" s="71"/>
    </row>
    <row r="95" spans="3:3" x14ac:dyDescent="0.15">
      <c r="C95" s="71"/>
    </row>
    <row r="96" spans="3:3" x14ac:dyDescent="0.15">
      <c r="C96" s="71"/>
    </row>
    <row r="97" spans="3:3" x14ac:dyDescent="0.15">
      <c r="C97" s="71"/>
    </row>
    <row r="98" spans="3:3" x14ac:dyDescent="0.15">
      <c r="C98" s="71"/>
    </row>
    <row r="99" spans="3:3" x14ac:dyDescent="0.15">
      <c r="C99" s="71"/>
    </row>
    <row r="100" spans="3:3" x14ac:dyDescent="0.15">
      <c r="C100" s="71"/>
    </row>
    <row r="101" spans="3:3" x14ac:dyDescent="0.15">
      <c r="C101" s="71"/>
    </row>
    <row r="102" spans="3:3" x14ac:dyDescent="0.15">
      <c r="C102" s="71"/>
    </row>
    <row r="103" spans="3:3" x14ac:dyDescent="0.15">
      <c r="C103" s="71"/>
    </row>
    <row r="104" spans="3:3" x14ac:dyDescent="0.15">
      <c r="C104" s="71"/>
    </row>
    <row r="105" spans="3:3" x14ac:dyDescent="0.15">
      <c r="C105" s="71"/>
    </row>
    <row r="106" spans="3:3" x14ac:dyDescent="0.15">
      <c r="C106" s="71"/>
    </row>
    <row r="107" spans="3:3" x14ac:dyDescent="0.15">
      <c r="C107" s="71"/>
    </row>
    <row r="108" spans="3:3" x14ac:dyDescent="0.15">
      <c r="C108" s="71"/>
    </row>
    <row r="109" spans="3:3" x14ac:dyDescent="0.15">
      <c r="C109" s="71"/>
    </row>
    <row r="110" spans="3:3" x14ac:dyDescent="0.15">
      <c r="C110" s="71"/>
    </row>
    <row r="111" spans="3:3" x14ac:dyDescent="0.15">
      <c r="C111" s="71"/>
    </row>
    <row r="112" spans="3:3" x14ac:dyDescent="0.15">
      <c r="C112" s="71"/>
    </row>
    <row r="113" spans="3:3" x14ac:dyDescent="0.15">
      <c r="C113" s="71"/>
    </row>
    <row r="114" spans="3:3" x14ac:dyDescent="0.15">
      <c r="C114" s="71"/>
    </row>
    <row r="115" spans="3:3" x14ac:dyDescent="0.15">
      <c r="C115" s="71"/>
    </row>
    <row r="116" spans="3:3" x14ac:dyDescent="0.15">
      <c r="C116" s="71"/>
    </row>
    <row r="117" spans="3:3" x14ac:dyDescent="0.15">
      <c r="C117" s="71"/>
    </row>
    <row r="118" spans="3:3" x14ac:dyDescent="0.15">
      <c r="C118" s="71"/>
    </row>
    <row r="119" spans="3:3" x14ac:dyDescent="0.15">
      <c r="C119" s="71"/>
    </row>
    <row r="120" spans="3:3" x14ac:dyDescent="0.15">
      <c r="C120" s="71"/>
    </row>
    <row r="121" spans="3:3" x14ac:dyDescent="0.15">
      <c r="C121" s="71"/>
    </row>
    <row r="122" spans="3:3" x14ac:dyDescent="0.15">
      <c r="C122" s="71"/>
    </row>
    <row r="123" spans="3:3" x14ac:dyDescent="0.15">
      <c r="C123" s="71"/>
    </row>
    <row r="124" spans="3:3" x14ac:dyDescent="0.15">
      <c r="C124" s="71"/>
    </row>
    <row r="125" spans="3:3" x14ac:dyDescent="0.15">
      <c r="C125" s="71"/>
    </row>
    <row r="126" spans="3:3" x14ac:dyDescent="0.15">
      <c r="C126" s="71"/>
    </row>
    <row r="127" spans="3:3" x14ac:dyDescent="0.15">
      <c r="C127" s="71"/>
    </row>
    <row r="128" spans="3:3" x14ac:dyDescent="0.15">
      <c r="C128" s="71"/>
    </row>
    <row r="129" spans="3:3" x14ac:dyDescent="0.15">
      <c r="C129" s="71"/>
    </row>
    <row r="130" spans="3:3" x14ac:dyDescent="0.15">
      <c r="C130" s="71"/>
    </row>
    <row r="131" spans="3:3" x14ac:dyDescent="0.15">
      <c r="C131" s="71"/>
    </row>
    <row r="132" spans="3:3" x14ac:dyDescent="0.15">
      <c r="C132" s="71"/>
    </row>
    <row r="133" spans="3:3" x14ac:dyDescent="0.15">
      <c r="C133" s="71"/>
    </row>
    <row r="134" spans="3:3" x14ac:dyDescent="0.15">
      <c r="C134" s="71"/>
    </row>
    <row r="135" spans="3:3" x14ac:dyDescent="0.15">
      <c r="C135" s="71"/>
    </row>
    <row r="136" spans="3:3" x14ac:dyDescent="0.15">
      <c r="C136" s="71"/>
    </row>
    <row r="137" spans="3:3" x14ac:dyDescent="0.15">
      <c r="C137" s="71"/>
    </row>
    <row r="138" spans="3:3" x14ac:dyDescent="0.15">
      <c r="C138" s="71"/>
    </row>
    <row r="139" spans="3:3" x14ac:dyDescent="0.15">
      <c r="C139" s="71"/>
    </row>
    <row r="140" spans="3:3" x14ac:dyDescent="0.15">
      <c r="C140" s="71"/>
    </row>
    <row r="141" spans="3:3" x14ac:dyDescent="0.15">
      <c r="C141" s="71"/>
    </row>
    <row r="142" spans="3:3" x14ac:dyDescent="0.15">
      <c r="C142" s="71"/>
    </row>
    <row r="143" spans="3:3" x14ac:dyDescent="0.15">
      <c r="C143" s="71"/>
    </row>
    <row r="144" spans="3:3" x14ac:dyDescent="0.15">
      <c r="C144" s="71"/>
    </row>
    <row r="145" spans="3:3" x14ac:dyDescent="0.15">
      <c r="C145" s="71"/>
    </row>
    <row r="146" spans="3:3" x14ac:dyDescent="0.15">
      <c r="C146" s="71"/>
    </row>
    <row r="147" spans="3:3" x14ac:dyDescent="0.15">
      <c r="C147" s="71"/>
    </row>
    <row r="148" spans="3:3" x14ac:dyDescent="0.15">
      <c r="C148" s="71"/>
    </row>
    <row r="149" spans="3:3" x14ac:dyDescent="0.15">
      <c r="C149" s="71"/>
    </row>
    <row r="150" spans="3:3" x14ac:dyDescent="0.15">
      <c r="C150" s="71"/>
    </row>
    <row r="151" spans="3:3" x14ac:dyDescent="0.15">
      <c r="C151" s="71"/>
    </row>
    <row r="152" spans="3:3" x14ac:dyDescent="0.15">
      <c r="C152" s="71"/>
    </row>
    <row r="153" spans="3:3" x14ac:dyDescent="0.15">
      <c r="C153" s="71"/>
    </row>
    <row r="154" spans="3:3" x14ac:dyDescent="0.15">
      <c r="C154" s="71"/>
    </row>
    <row r="155" spans="3:3" x14ac:dyDescent="0.15">
      <c r="C155" s="71"/>
    </row>
    <row r="156" spans="3:3" x14ac:dyDescent="0.15">
      <c r="C156" s="71"/>
    </row>
    <row r="157" spans="3:3" x14ac:dyDescent="0.15">
      <c r="C157" s="71"/>
    </row>
    <row r="158" spans="3:3" x14ac:dyDescent="0.15">
      <c r="C158" s="71"/>
    </row>
    <row r="159" spans="3:3" x14ac:dyDescent="0.15">
      <c r="C159" s="71"/>
    </row>
    <row r="160" spans="3:3" x14ac:dyDescent="0.15">
      <c r="C160" s="71"/>
    </row>
    <row r="161" spans="3:3" x14ac:dyDescent="0.15">
      <c r="C161" s="71"/>
    </row>
    <row r="162" spans="3:3" x14ac:dyDescent="0.15">
      <c r="C162" s="71"/>
    </row>
    <row r="163" spans="3:3" x14ac:dyDescent="0.15">
      <c r="C163" s="71"/>
    </row>
    <row r="164" spans="3:3" x14ac:dyDescent="0.15">
      <c r="C164" s="71"/>
    </row>
    <row r="165" spans="3:3" x14ac:dyDescent="0.15">
      <c r="C165" s="71"/>
    </row>
    <row r="166" spans="3:3" x14ac:dyDescent="0.15">
      <c r="C166" s="71"/>
    </row>
    <row r="167" spans="3:3" x14ac:dyDescent="0.15">
      <c r="C167" s="71"/>
    </row>
    <row r="168" spans="3:3" x14ac:dyDescent="0.15">
      <c r="C168" s="71"/>
    </row>
    <row r="169" spans="3:3" x14ac:dyDescent="0.15">
      <c r="C169" s="71"/>
    </row>
    <row r="170" spans="3:3" x14ac:dyDescent="0.15">
      <c r="C170" s="71"/>
    </row>
    <row r="171" spans="3:3" x14ac:dyDescent="0.15">
      <c r="C171" s="71"/>
    </row>
    <row r="172" spans="3:3" x14ac:dyDescent="0.15">
      <c r="C172" s="71"/>
    </row>
    <row r="173" spans="3:3" x14ac:dyDescent="0.15">
      <c r="C173" s="71"/>
    </row>
    <row r="174" spans="3:3" x14ac:dyDescent="0.15">
      <c r="C174" s="71"/>
    </row>
    <row r="175" spans="3:3" x14ac:dyDescent="0.15">
      <c r="C175" s="71"/>
    </row>
    <row r="176" spans="3:3" x14ac:dyDescent="0.15">
      <c r="C176" s="71"/>
    </row>
    <row r="177" spans="3:3" x14ac:dyDescent="0.15">
      <c r="C177" s="71"/>
    </row>
    <row r="178" spans="3:3" x14ac:dyDescent="0.15">
      <c r="C178" s="71"/>
    </row>
    <row r="179" spans="3:3" x14ac:dyDescent="0.15">
      <c r="C179" s="71"/>
    </row>
    <row r="180" spans="3:3" x14ac:dyDescent="0.15">
      <c r="C180" s="71"/>
    </row>
    <row r="181" spans="3:3" x14ac:dyDescent="0.15">
      <c r="C181" s="71"/>
    </row>
    <row r="182" spans="3:3" x14ac:dyDescent="0.15">
      <c r="C182" s="71"/>
    </row>
    <row r="183" spans="3:3" x14ac:dyDescent="0.15">
      <c r="C183" s="71"/>
    </row>
    <row r="184" spans="3:3" x14ac:dyDescent="0.15">
      <c r="C184" s="71"/>
    </row>
    <row r="185" spans="3:3" x14ac:dyDescent="0.15">
      <c r="C185" s="71"/>
    </row>
    <row r="186" spans="3:3" x14ac:dyDescent="0.15">
      <c r="C186" s="71"/>
    </row>
    <row r="187" spans="3:3" x14ac:dyDescent="0.15">
      <c r="C187" s="71"/>
    </row>
    <row r="188" spans="3:3" x14ac:dyDescent="0.15">
      <c r="C188" s="71"/>
    </row>
    <row r="189" spans="3:3" x14ac:dyDescent="0.15">
      <c r="C189" s="71"/>
    </row>
    <row r="190" spans="3:3" x14ac:dyDescent="0.15">
      <c r="C190" s="71"/>
    </row>
    <row r="191" spans="3:3" x14ac:dyDescent="0.15">
      <c r="C191" s="71"/>
    </row>
    <row r="192" spans="3:3" x14ac:dyDescent="0.15">
      <c r="C192" s="71"/>
    </row>
    <row r="193" spans="3:3" x14ac:dyDescent="0.15">
      <c r="C193" s="71"/>
    </row>
    <row r="194" spans="3:3" x14ac:dyDescent="0.15">
      <c r="C194" s="71"/>
    </row>
    <row r="195" spans="3:3" x14ac:dyDescent="0.15">
      <c r="C195" s="71"/>
    </row>
    <row r="196" spans="3:3" x14ac:dyDescent="0.15">
      <c r="C196" s="71"/>
    </row>
    <row r="197" spans="3:3" x14ac:dyDescent="0.15">
      <c r="C197" s="71"/>
    </row>
    <row r="198" spans="3:3" x14ac:dyDescent="0.15">
      <c r="C198" s="71"/>
    </row>
    <row r="199" spans="3:3" x14ac:dyDescent="0.15">
      <c r="C199" s="71"/>
    </row>
    <row r="200" spans="3:3" x14ac:dyDescent="0.15">
      <c r="C200" s="71"/>
    </row>
    <row r="201" spans="3:3" x14ac:dyDescent="0.15">
      <c r="C201" s="71"/>
    </row>
    <row r="202" spans="3:3" x14ac:dyDescent="0.15">
      <c r="C202" s="71"/>
    </row>
    <row r="203" spans="3:3" x14ac:dyDescent="0.15">
      <c r="C203" s="71"/>
    </row>
    <row r="204" spans="3:3" x14ac:dyDescent="0.15">
      <c r="C204" s="71"/>
    </row>
    <row r="205" spans="3:3" x14ac:dyDescent="0.15">
      <c r="C205" s="71"/>
    </row>
    <row r="206" spans="3:3" x14ac:dyDescent="0.15">
      <c r="C206" s="71"/>
    </row>
    <row r="207" spans="3:3" x14ac:dyDescent="0.15">
      <c r="C207" s="71"/>
    </row>
    <row r="208" spans="3:3" x14ac:dyDescent="0.15">
      <c r="C208" s="71"/>
    </row>
    <row r="209" spans="3:3" x14ac:dyDescent="0.15">
      <c r="C209" s="71"/>
    </row>
    <row r="210" spans="3:3" x14ac:dyDescent="0.15">
      <c r="C210" s="71"/>
    </row>
    <row r="211" spans="3:3" x14ac:dyDescent="0.15">
      <c r="C211" s="71"/>
    </row>
    <row r="212" spans="3:3" x14ac:dyDescent="0.15">
      <c r="C212" s="71"/>
    </row>
    <row r="213" spans="3:3" x14ac:dyDescent="0.15">
      <c r="C213" s="71"/>
    </row>
    <row r="214" spans="3:3" x14ac:dyDescent="0.15">
      <c r="C214" s="71"/>
    </row>
    <row r="215" spans="3:3" x14ac:dyDescent="0.15">
      <c r="C215" s="71"/>
    </row>
    <row r="216" spans="3:3" x14ac:dyDescent="0.15">
      <c r="C216" s="71"/>
    </row>
    <row r="217" spans="3:3" x14ac:dyDescent="0.15">
      <c r="C217" s="71"/>
    </row>
    <row r="218" spans="3:3" x14ac:dyDescent="0.15">
      <c r="C218" s="71"/>
    </row>
    <row r="219" spans="3:3" x14ac:dyDescent="0.15">
      <c r="C219" s="71"/>
    </row>
    <row r="220" spans="3:3" x14ac:dyDescent="0.15">
      <c r="C220" s="71"/>
    </row>
    <row r="221" spans="3:3" x14ac:dyDescent="0.15">
      <c r="C221" s="71"/>
    </row>
    <row r="222" spans="3:3" x14ac:dyDescent="0.15">
      <c r="C222" s="71"/>
    </row>
    <row r="223" spans="3:3" x14ac:dyDescent="0.15">
      <c r="C223" s="71"/>
    </row>
    <row r="224" spans="3:3" x14ac:dyDescent="0.15">
      <c r="C224" s="71"/>
    </row>
    <row r="225" spans="3:3" x14ac:dyDescent="0.15">
      <c r="C225" s="71"/>
    </row>
    <row r="226" spans="3:3" x14ac:dyDescent="0.15">
      <c r="C226" s="71"/>
    </row>
    <row r="227" spans="3:3" x14ac:dyDescent="0.15">
      <c r="C227" s="71"/>
    </row>
    <row r="228" spans="3:3" x14ac:dyDescent="0.15">
      <c r="C228" s="71"/>
    </row>
    <row r="229" spans="3:3" x14ac:dyDescent="0.15">
      <c r="C229" s="71"/>
    </row>
  </sheetData>
  <mergeCells count="4">
    <mergeCell ref="A1:G1"/>
    <mergeCell ref="A4:G4"/>
    <mergeCell ref="A47:G47"/>
    <mergeCell ref="A48:G48"/>
  </mergeCells>
  <hyperlinks>
    <hyperlink ref="A48" r:id="rId1" xr:uid="{00000000-0004-0000-1300-000000000000}"/>
  </hyperlinks>
  <printOptions horizontalCentered="1" verticalCentered="1"/>
  <pageMargins left="0.2" right="0.2" top="0.2" bottom="0.2" header="0.2" footer="0.51"/>
  <pageSetup paperSize="9" scale="93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F25"/>
  <sheetViews>
    <sheetView showRuler="0" topLeftCell="A5" zoomScale="99" workbookViewId="0">
      <selection activeCell="C34" sqref="C34:C35"/>
    </sheetView>
  </sheetViews>
  <sheetFormatPr baseColWidth="10" defaultRowHeight="31" customHeight="1" x14ac:dyDescent="0.2"/>
  <cols>
    <col min="1" max="1" width="17.5" bestFit="1" customWidth="1"/>
    <col min="2" max="2" width="19.1640625" customWidth="1"/>
    <col min="3" max="3" width="21.83203125" customWidth="1"/>
    <col min="4" max="4" width="17.1640625" customWidth="1"/>
    <col min="5" max="5" width="15" customWidth="1"/>
    <col min="6" max="6" width="16.1640625" customWidth="1"/>
  </cols>
  <sheetData>
    <row r="1" spans="1:6" ht="31" customHeight="1" x14ac:dyDescent="0.25">
      <c r="A1" s="120" t="s">
        <v>23</v>
      </c>
      <c r="B1" s="121" t="s">
        <v>312</v>
      </c>
      <c r="C1" s="33"/>
      <c r="D1" s="33"/>
      <c r="E1" s="121" t="s">
        <v>126</v>
      </c>
      <c r="F1" s="33"/>
    </row>
    <row r="2" spans="1:6" ht="31" customHeight="1" x14ac:dyDescent="0.2">
      <c r="A2" s="30" t="s">
        <v>25</v>
      </c>
      <c r="B2" s="30" t="s">
        <v>115</v>
      </c>
      <c r="C2" s="32" t="s">
        <v>54</v>
      </c>
      <c r="D2" s="32" t="s">
        <v>114</v>
      </c>
      <c r="E2" s="32" t="s">
        <v>28</v>
      </c>
      <c r="F2" s="32" t="s">
        <v>116</v>
      </c>
    </row>
    <row r="3" spans="1:6" ht="31" customHeight="1" x14ac:dyDescent="0.2">
      <c r="A3" s="28">
        <v>90878820</v>
      </c>
      <c r="B3" s="28" t="s">
        <v>61</v>
      </c>
      <c r="C3" s="28" t="s">
        <v>89</v>
      </c>
      <c r="D3" s="119">
        <v>1.1439999999999999</v>
      </c>
      <c r="E3" s="40">
        <v>0</v>
      </c>
      <c r="F3" s="40">
        <v>0</v>
      </c>
    </row>
    <row r="4" spans="1:6" ht="31" customHeight="1" x14ac:dyDescent="0.2">
      <c r="A4" s="28">
        <v>90878821</v>
      </c>
      <c r="B4" s="28" t="s">
        <v>56</v>
      </c>
      <c r="C4" s="28" t="s">
        <v>90</v>
      </c>
      <c r="D4" s="119">
        <v>0.95399999999999996</v>
      </c>
      <c r="E4" s="40">
        <v>12</v>
      </c>
      <c r="F4" s="40">
        <v>0</v>
      </c>
    </row>
    <row r="5" spans="1:6" ht="31" customHeight="1" x14ac:dyDescent="0.2">
      <c r="A5" s="28">
        <v>90878822</v>
      </c>
      <c r="B5" s="28" t="s">
        <v>64</v>
      </c>
      <c r="C5" s="28" t="s">
        <v>91</v>
      </c>
      <c r="D5" s="119">
        <v>1.0289999999999999</v>
      </c>
      <c r="E5" s="33">
        <v>235</v>
      </c>
      <c r="F5" s="33">
        <v>252</v>
      </c>
    </row>
    <row r="6" spans="1:6" ht="31" customHeight="1" x14ac:dyDescent="0.2">
      <c r="A6" s="28">
        <v>90878823</v>
      </c>
      <c r="B6" s="28" t="s">
        <v>65</v>
      </c>
      <c r="C6" s="28" t="s">
        <v>81</v>
      </c>
      <c r="D6" s="119">
        <v>1.335</v>
      </c>
      <c r="E6" s="33">
        <v>447</v>
      </c>
      <c r="F6" s="33">
        <v>441</v>
      </c>
    </row>
    <row r="7" spans="1:6" ht="31" customHeight="1" x14ac:dyDescent="0.2">
      <c r="A7" s="28">
        <v>90878824</v>
      </c>
      <c r="B7" s="28" t="s">
        <v>66</v>
      </c>
      <c r="C7" s="28" t="s">
        <v>81</v>
      </c>
      <c r="D7" s="119">
        <v>1.335</v>
      </c>
      <c r="E7" s="33">
        <v>0</v>
      </c>
      <c r="F7" s="33">
        <v>0</v>
      </c>
    </row>
    <row r="8" spans="1:6" ht="31" customHeight="1" x14ac:dyDescent="0.2">
      <c r="A8" s="28">
        <v>90878825</v>
      </c>
      <c r="B8" s="28" t="s">
        <v>71</v>
      </c>
      <c r="C8" s="28" t="s">
        <v>89</v>
      </c>
      <c r="D8" s="119">
        <v>1.1439999999999999</v>
      </c>
      <c r="E8" s="33">
        <v>0</v>
      </c>
      <c r="F8" s="33">
        <v>6</v>
      </c>
    </row>
    <row r="9" spans="1:6" ht="31" customHeight="1" x14ac:dyDescent="0.2">
      <c r="A9" s="28">
        <v>90878826</v>
      </c>
      <c r="B9" s="28" t="s">
        <v>72</v>
      </c>
      <c r="C9" s="28" t="s">
        <v>92</v>
      </c>
      <c r="D9" s="119">
        <v>0.81200000000000006</v>
      </c>
      <c r="E9" s="33">
        <v>13</v>
      </c>
      <c r="F9" s="33">
        <v>27</v>
      </c>
    </row>
    <row r="10" spans="1:6" ht="31" customHeight="1" x14ac:dyDescent="0.2">
      <c r="A10" s="28">
        <v>90878827</v>
      </c>
      <c r="B10" s="28" t="s">
        <v>59</v>
      </c>
      <c r="C10" s="28" t="s">
        <v>89</v>
      </c>
      <c r="D10" s="119">
        <v>1.1439999999999999</v>
      </c>
      <c r="E10" s="33">
        <v>102</v>
      </c>
      <c r="F10" s="33">
        <v>148</v>
      </c>
    </row>
    <row r="11" spans="1:6" ht="31" customHeight="1" x14ac:dyDescent="0.2">
      <c r="A11" s="28">
        <v>90878828</v>
      </c>
      <c r="B11" s="28" t="s">
        <v>74</v>
      </c>
      <c r="C11" s="28" t="s">
        <v>89</v>
      </c>
      <c r="D11" s="119">
        <v>1.1439999999999999</v>
      </c>
      <c r="E11" s="33">
        <v>121</v>
      </c>
      <c r="F11" s="33">
        <v>145</v>
      </c>
    </row>
    <row r="12" spans="1:6" ht="31" customHeight="1" x14ac:dyDescent="0.2">
      <c r="A12" s="28">
        <v>90878829</v>
      </c>
      <c r="B12" s="28" t="s">
        <v>75</v>
      </c>
      <c r="C12" s="28" t="s">
        <v>93</v>
      </c>
      <c r="D12" s="119">
        <v>1.3440000000000001</v>
      </c>
      <c r="E12" s="33">
        <v>10</v>
      </c>
      <c r="F12" s="33">
        <v>85</v>
      </c>
    </row>
    <row r="13" spans="1:6" ht="31" customHeight="1" x14ac:dyDescent="0.2">
      <c r="A13" s="28">
        <v>90878830</v>
      </c>
      <c r="B13" s="28" t="s">
        <v>76</v>
      </c>
      <c r="C13" s="28" t="s">
        <v>93</v>
      </c>
      <c r="D13" s="119">
        <v>1.3440000000000001</v>
      </c>
      <c r="E13" s="33">
        <v>249</v>
      </c>
      <c r="F13" s="33">
        <v>148</v>
      </c>
    </row>
    <row r="14" spans="1:6" ht="31" customHeight="1" x14ac:dyDescent="0.2">
      <c r="A14" s="28">
        <v>90878831</v>
      </c>
      <c r="B14" s="28" t="s">
        <v>77</v>
      </c>
      <c r="C14" s="28" t="s">
        <v>89</v>
      </c>
      <c r="D14" s="119">
        <v>1.1439999999999999</v>
      </c>
      <c r="E14" s="33">
        <v>22</v>
      </c>
      <c r="F14" s="33">
        <v>8</v>
      </c>
    </row>
    <row r="15" spans="1:6" ht="31" customHeight="1" x14ac:dyDescent="0.2">
      <c r="A15" s="122"/>
      <c r="B15" s="28"/>
      <c r="C15" s="28"/>
      <c r="D15" s="32"/>
      <c r="E15" s="38"/>
      <c r="F15" s="40"/>
    </row>
    <row r="16" spans="1:6" ht="31" customHeight="1" x14ac:dyDescent="0.2">
      <c r="A16" s="30" t="s">
        <v>31</v>
      </c>
      <c r="B16" s="30" t="s">
        <v>55</v>
      </c>
      <c r="C16" s="29"/>
      <c r="D16" s="32"/>
      <c r="E16" s="32" t="s">
        <v>28</v>
      </c>
      <c r="F16" s="32"/>
    </row>
    <row r="17" spans="1:6" ht="31" customHeight="1" x14ac:dyDescent="0.2">
      <c r="A17" s="126" t="s">
        <v>269</v>
      </c>
      <c r="B17" s="33" t="s">
        <v>55</v>
      </c>
      <c r="C17" s="29" t="s">
        <v>144</v>
      </c>
      <c r="D17" s="33"/>
      <c r="E17" s="124">
        <v>43.4</v>
      </c>
      <c r="F17" s="124">
        <v>46.994</v>
      </c>
    </row>
    <row r="18" spans="1:6" ht="50" customHeight="1" x14ac:dyDescent="0.2">
      <c r="A18" s="122" t="s">
        <v>270</v>
      </c>
      <c r="B18" s="28" t="s">
        <v>48</v>
      </c>
      <c r="C18" s="29" t="s">
        <v>144</v>
      </c>
      <c r="D18" s="28"/>
      <c r="E18" s="124">
        <v>19</v>
      </c>
      <c r="F18" s="124">
        <v>19.506</v>
      </c>
    </row>
    <row r="19" spans="1:6" ht="31" customHeight="1" x14ac:dyDescent="0.2">
      <c r="A19" s="30" t="s">
        <v>32</v>
      </c>
      <c r="B19" s="30" t="s">
        <v>115</v>
      </c>
      <c r="C19" s="31"/>
      <c r="D19" s="32"/>
      <c r="E19" s="32"/>
      <c r="F19" s="32"/>
    </row>
    <row r="20" spans="1:6" ht="31" customHeight="1" x14ac:dyDescent="0.2">
      <c r="A20" s="126" t="s">
        <v>271</v>
      </c>
      <c r="B20" s="33" t="s">
        <v>55</v>
      </c>
      <c r="C20" s="29" t="s">
        <v>144</v>
      </c>
      <c r="D20" s="33"/>
      <c r="E20" s="124">
        <v>34.799999999999997</v>
      </c>
      <c r="F20" s="124">
        <v>36.831000000000003</v>
      </c>
    </row>
    <row r="21" spans="1:6" ht="31" customHeight="1" x14ac:dyDescent="0.2">
      <c r="A21" s="126" t="s">
        <v>272</v>
      </c>
      <c r="B21" s="33" t="s">
        <v>48</v>
      </c>
      <c r="C21" s="29">
        <v>44198</v>
      </c>
      <c r="D21" s="33"/>
      <c r="E21" s="33">
        <v>435.4</v>
      </c>
      <c r="F21" s="33">
        <v>445.15199999999999</v>
      </c>
    </row>
    <row r="22" spans="1:6" ht="31" customHeight="1" x14ac:dyDescent="0.2">
      <c r="A22" s="126" t="s">
        <v>273</v>
      </c>
      <c r="B22" s="33" t="s">
        <v>117</v>
      </c>
      <c r="C22" s="29">
        <v>44198</v>
      </c>
      <c r="D22" s="33"/>
      <c r="E22" s="127">
        <v>50.1</v>
      </c>
      <c r="F22" s="127">
        <v>52.27</v>
      </c>
    </row>
    <row r="23" spans="1:6" ht="31" customHeight="1" x14ac:dyDescent="0.2">
      <c r="A23" s="122"/>
      <c r="B23" s="28"/>
      <c r="C23" s="29"/>
      <c r="D23" s="28" t="s">
        <v>35</v>
      </c>
      <c r="E23" s="28"/>
      <c r="F23" s="124" t="s">
        <v>289</v>
      </c>
    </row>
    <row r="24" spans="1:6" ht="31" customHeight="1" x14ac:dyDescent="0.2">
      <c r="A24" s="122" t="s">
        <v>27</v>
      </c>
      <c r="B24" s="167" t="s">
        <v>119</v>
      </c>
      <c r="C24" s="167"/>
      <c r="D24" s="28" t="s">
        <v>118</v>
      </c>
      <c r="E24" s="28"/>
      <c r="F24" s="28"/>
    </row>
    <row r="25" spans="1:6" ht="53" customHeight="1" x14ac:dyDescent="0.2">
      <c r="A25" s="125"/>
      <c r="B25" s="167"/>
      <c r="C25" s="167"/>
      <c r="D25" s="167"/>
      <c r="E25" s="167"/>
      <c r="F25" s="167"/>
    </row>
  </sheetData>
  <mergeCells count="3">
    <mergeCell ref="B24:C24"/>
    <mergeCell ref="B25:C25"/>
    <mergeCell ref="D25:F25"/>
  </mergeCells>
  <phoneticPr fontId="10" type="noConversion"/>
  <printOptions horizontalCentered="1" verticalCentered="1"/>
  <pageMargins left="0.75000000000000011" right="0.75000000000000011" top="1" bottom="1" header="0.5" footer="0.5"/>
  <pageSetup paperSize="9" scale="75" orientation="portrait" horizontalDpi="0" verticalDpi="0" copies="2"/>
  <headerFooter>
    <oddHeader>&amp;A</oddHeader>
  </headerFooter>
  <rowBreaks count="1" manualBreakCount="1">
    <brk id="19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425A-1A78-FC41-A90B-CE2B2A5884F0}">
  <sheetPr>
    <pageSetUpPr fitToPage="1"/>
  </sheetPr>
  <dimension ref="A1:I42"/>
  <sheetViews>
    <sheetView showRuler="0" topLeftCell="A9" workbookViewId="0">
      <selection activeCell="C11" sqref="C11"/>
    </sheetView>
  </sheetViews>
  <sheetFormatPr baseColWidth="10" defaultRowHeight="13" x14ac:dyDescent="0.15"/>
  <cols>
    <col min="1" max="1" width="26.6640625" style="72" customWidth="1"/>
    <col min="2" max="2" width="8.5" style="72" customWidth="1"/>
    <col min="3" max="3" width="10.83203125" style="72"/>
    <col min="4" max="4" width="8.33203125" style="72" customWidth="1"/>
    <col min="5" max="5" width="18.1640625" style="72" customWidth="1"/>
    <col min="6" max="6" width="11.83203125" style="72" customWidth="1"/>
    <col min="7" max="7" width="17.6640625" style="93" customWidth="1"/>
    <col min="8" max="8" width="11.1640625" style="93" customWidth="1"/>
    <col min="9" max="16384" width="10.83203125" style="72"/>
  </cols>
  <sheetData>
    <row r="1" spans="1:9" ht="16" x14ac:dyDescent="0.2">
      <c r="A1" s="163" t="s">
        <v>234</v>
      </c>
      <c r="B1" s="163"/>
      <c r="C1" s="163"/>
      <c r="D1" s="163"/>
      <c r="E1" s="163"/>
      <c r="F1" s="163"/>
      <c r="G1" s="163"/>
    </row>
    <row r="2" spans="1:9" ht="56" customHeight="1" x14ac:dyDescent="0.15">
      <c r="A2" s="74" t="s">
        <v>285</v>
      </c>
      <c r="B2" s="75"/>
      <c r="C2" s="76"/>
      <c r="D2" s="76"/>
      <c r="E2" s="74"/>
      <c r="F2" s="74"/>
      <c r="G2" s="77">
        <f ca="1">TODAY()</f>
        <v>46119</v>
      </c>
    </row>
    <row r="3" spans="1:9" ht="51" customHeight="1" x14ac:dyDescent="0.25">
      <c r="A3" s="168" t="s">
        <v>308</v>
      </c>
      <c r="B3" s="164"/>
      <c r="C3" s="164"/>
      <c r="D3" s="164"/>
      <c r="E3" s="164"/>
      <c r="F3" s="164"/>
      <c r="G3" s="164"/>
    </row>
    <row r="4" spans="1:9" ht="24.75" customHeight="1" x14ac:dyDescent="0.15">
      <c r="A4" s="169" t="s">
        <v>235</v>
      </c>
      <c r="B4" s="170"/>
      <c r="C4" s="170"/>
      <c r="D4" s="170"/>
      <c r="E4" s="170"/>
      <c r="F4" s="136" t="s">
        <v>309</v>
      </c>
      <c r="G4" s="136" t="s">
        <v>310</v>
      </c>
    </row>
    <row r="5" spans="1:9" ht="21" customHeight="1" x14ac:dyDescent="0.15">
      <c r="A5" s="82" t="s">
        <v>199</v>
      </c>
      <c r="B5" s="82"/>
      <c r="C5" s="82"/>
      <c r="D5" s="82"/>
      <c r="E5" s="82"/>
      <c r="F5" s="82"/>
      <c r="G5" s="82"/>
    </row>
    <row r="6" spans="1:9" x14ac:dyDescent="0.15">
      <c r="A6" s="70" t="s">
        <v>200</v>
      </c>
      <c r="B6" s="71"/>
      <c r="C6" s="72" t="s">
        <v>201</v>
      </c>
      <c r="D6" s="72" t="s">
        <v>3</v>
      </c>
      <c r="E6" s="70" t="s">
        <v>202</v>
      </c>
      <c r="F6" s="70" t="s">
        <v>203</v>
      </c>
      <c r="G6" s="73" t="s">
        <v>236</v>
      </c>
    </row>
    <row r="7" spans="1:9" x14ac:dyDescent="0.15">
      <c r="A7" s="70"/>
      <c r="B7" s="71"/>
      <c r="D7" s="72" t="s">
        <v>205</v>
      </c>
      <c r="E7" s="70"/>
      <c r="F7" s="70" t="s">
        <v>205</v>
      </c>
      <c r="G7" s="73"/>
      <c r="H7" s="101"/>
    </row>
    <row r="8" spans="1:9" x14ac:dyDescent="0.15">
      <c r="A8" s="86" t="s">
        <v>199</v>
      </c>
      <c r="B8" s="86"/>
      <c r="C8" s="86"/>
      <c r="D8" s="86"/>
      <c r="E8" s="86"/>
      <c r="F8" s="86"/>
      <c r="G8" s="86"/>
      <c r="H8" s="101"/>
    </row>
    <row r="9" spans="1:9" x14ac:dyDescent="0.15">
      <c r="A9" s="70" t="s">
        <v>206</v>
      </c>
      <c r="B9" s="70"/>
      <c r="C9" s="71">
        <v>2400</v>
      </c>
      <c r="D9" s="90">
        <v>6</v>
      </c>
      <c r="E9" s="70" t="s">
        <v>207</v>
      </c>
      <c r="F9" s="91" t="s">
        <v>208</v>
      </c>
      <c r="G9" s="92">
        <f>SUM(C9/D9*F9)</f>
        <v>400</v>
      </c>
    </row>
    <row r="10" spans="1:9" x14ac:dyDescent="0.15">
      <c r="A10" s="70"/>
      <c r="B10" s="71"/>
      <c r="C10" s="71"/>
      <c r="D10" s="90"/>
      <c r="E10" s="70"/>
      <c r="F10" s="91"/>
      <c r="G10" s="92"/>
    </row>
    <row r="11" spans="1:9" x14ac:dyDescent="0.15">
      <c r="A11" s="70" t="s">
        <v>276</v>
      </c>
      <c r="B11" s="71"/>
      <c r="C11" s="71">
        <f>VALUE(Hauptabrechnung!$F$41)</f>
        <v>5692.54</v>
      </c>
      <c r="D11" s="90">
        <v>1</v>
      </c>
      <c r="E11" s="70" t="s">
        <v>210</v>
      </c>
      <c r="F11" s="91" t="s">
        <v>208</v>
      </c>
      <c r="G11" s="92">
        <f>VALUE(Gneiting!H13)</f>
        <v>600.47952148573665</v>
      </c>
      <c r="I11" s="92"/>
    </row>
    <row r="12" spans="1:9" x14ac:dyDescent="0.15">
      <c r="A12" s="70"/>
      <c r="B12" s="71"/>
      <c r="C12" s="71"/>
      <c r="D12" s="90"/>
      <c r="E12" s="70"/>
      <c r="F12" s="91"/>
      <c r="G12" s="92"/>
    </row>
    <row r="13" spans="1:9" x14ac:dyDescent="0.15">
      <c r="A13" s="86" t="s">
        <v>211</v>
      </c>
      <c r="B13" s="87"/>
      <c r="C13" s="93">
        <f>SUM(C14+C15)</f>
        <v>404.76</v>
      </c>
      <c r="D13" s="90">
        <v>6</v>
      </c>
      <c r="E13" s="70" t="s">
        <v>207</v>
      </c>
      <c r="F13" s="91" t="s">
        <v>208</v>
      </c>
      <c r="G13" s="92">
        <f>SUM(C13/D13*F13)</f>
        <v>67.459999999999994</v>
      </c>
    </row>
    <row r="14" spans="1:9" x14ac:dyDescent="0.15">
      <c r="A14" s="70" t="s">
        <v>212</v>
      </c>
      <c r="B14" s="71"/>
      <c r="C14" s="93">
        <f>VALUE('Zahlungen 2025'!D42)</f>
        <v>99.81</v>
      </c>
      <c r="D14" s="90"/>
      <c r="E14" s="70"/>
      <c r="F14" s="91"/>
      <c r="G14" s="92"/>
    </row>
    <row r="15" spans="1:9" x14ac:dyDescent="0.15">
      <c r="A15" s="70" t="s">
        <v>213</v>
      </c>
      <c r="B15" s="71"/>
      <c r="C15" s="138">
        <f>VALUE('Zahlungen 2025'!I42)</f>
        <v>304.95</v>
      </c>
      <c r="D15" s="90"/>
      <c r="E15" s="70"/>
      <c r="F15" s="91"/>
      <c r="G15" s="92"/>
    </row>
    <row r="16" spans="1:9" x14ac:dyDescent="0.15">
      <c r="A16" s="70"/>
      <c r="B16" s="71"/>
      <c r="C16" s="138"/>
      <c r="D16" s="90"/>
      <c r="E16" s="70"/>
      <c r="F16" s="91"/>
      <c r="G16" s="92"/>
    </row>
    <row r="17" spans="1:8" x14ac:dyDescent="0.15">
      <c r="A17" s="70" t="s">
        <v>287</v>
      </c>
      <c r="B17" s="71"/>
      <c r="C17" s="138">
        <v>0</v>
      </c>
      <c r="D17" s="90">
        <v>6</v>
      </c>
      <c r="E17" s="70" t="s">
        <v>207</v>
      </c>
      <c r="F17" s="91" t="s">
        <v>208</v>
      </c>
      <c r="G17" s="92">
        <f>SUM(C17/D17)</f>
        <v>0</v>
      </c>
    </row>
    <row r="18" spans="1:8" x14ac:dyDescent="0.15">
      <c r="A18" s="70"/>
      <c r="B18" s="71"/>
      <c r="C18" s="93"/>
      <c r="D18" s="90"/>
      <c r="E18" s="70"/>
      <c r="F18" s="91"/>
      <c r="G18" s="92"/>
      <c r="H18" s="72"/>
    </row>
    <row r="19" spans="1:8" x14ac:dyDescent="0.15">
      <c r="A19" s="70" t="s">
        <v>214</v>
      </c>
      <c r="B19" s="71"/>
      <c r="C19" s="71">
        <f>VALUE('Zahlungen 2025'!B42)</f>
        <v>526.29999999999995</v>
      </c>
      <c r="D19" s="90">
        <v>6</v>
      </c>
      <c r="E19" s="70" t="s">
        <v>207</v>
      </c>
      <c r="F19" s="91" t="s">
        <v>208</v>
      </c>
      <c r="G19" s="92">
        <f>SUM(C19/D19*F19)</f>
        <v>87.716666666666654</v>
      </c>
      <c r="H19" s="72"/>
    </row>
    <row r="20" spans="1:8" x14ac:dyDescent="0.15">
      <c r="A20" s="70"/>
      <c r="B20" s="71"/>
      <c r="C20" s="71"/>
      <c r="D20" s="90"/>
      <c r="E20" s="70"/>
      <c r="F20" s="91"/>
      <c r="G20" s="92"/>
      <c r="H20" s="72"/>
    </row>
    <row r="21" spans="1:8" x14ac:dyDescent="0.15">
      <c r="A21" s="70" t="s">
        <v>215</v>
      </c>
      <c r="B21" s="71"/>
      <c r="C21" s="93">
        <f>VALUE('Zahlungen 2025'!F42)</f>
        <v>496.8</v>
      </c>
      <c r="D21" s="90">
        <v>10</v>
      </c>
      <c r="E21" s="70" t="s">
        <v>227</v>
      </c>
      <c r="F21" s="91" t="s">
        <v>208</v>
      </c>
      <c r="G21" s="92">
        <f>SUM(C21/D21*F21)</f>
        <v>49.68</v>
      </c>
    </row>
    <row r="22" spans="1:8" x14ac:dyDescent="0.15">
      <c r="A22" s="70"/>
      <c r="B22" s="71"/>
      <c r="C22" s="71"/>
      <c r="D22" s="90"/>
      <c r="E22" s="70"/>
      <c r="F22" s="91"/>
      <c r="G22" s="92"/>
    </row>
    <row r="23" spans="1:8" x14ac:dyDescent="0.15">
      <c r="A23" s="70"/>
      <c r="B23" s="71"/>
      <c r="C23" s="71"/>
      <c r="D23" s="90"/>
      <c r="E23" s="70"/>
      <c r="F23" s="91"/>
      <c r="G23" s="92"/>
    </row>
    <row r="24" spans="1:8" x14ac:dyDescent="0.15">
      <c r="A24" s="79" t="s">
        <v>217</v>
      </c>
      <c r="B24" s="80"/>
      <c r="C24" s="71">
        <f>SUM(C25+C26)</f>
        <v>1787.29</v>
      </c>
      <c r="D24" s="90">
        <v>6</v>
      </c>
      <c r="E24" s="70" t="s">
        <v>218</v>
      </c>
      <c r="F24" s="91" t="s">
        <v>208</v>
      </c>
      <c r="G24" s="92">
        <f>SUM(C24/D24*F24)</f>
        <v>297.88166666666666</v>
      </c>
    </row>
    <row r="25" spans="1:8" x14ac:dyDescent="0.15">
      <c r="A25" s="70" t="s">
        <v>219</v>
      </c>
      <c r="B25" s="71"/>
      <c r="C25" s="139">
        <f>VALUE('Zahlungen 2025'!C24)</f>
        <v>1726.84</v>
      </c>
      <c r="D25" s="90"/>
      <c r="E25" s="70"/>
      <c r="F25" s="91"/>
      <c r="G25" s="92"/>
      <c r="H25" s="72"/>
    </row>
    <row r="26" spans="1:8" x14ac:dyDescent="0.15">
      <c r="A26" s="70" t="s">
        <v>220</v>
      </c>
      <c r="B26" s="71"/>
      <c r="C26" s="71">
        <f>VALUE('Zahlungen 2025'!C23)</f>
        <v>60.45</v>
      </c>
      <c r="D26" s="90"/>
      <c r="E26" s="70"/>
      <c r="F26" s="91"/>
      <c r="G26" s="92"/>
    </row>
    <row r="27" spans="1:8" x14ac:dyDescent="0.15">
      <c r="A27" s="70"/>
      <c r="B27" s="71"/>
      <c r="C27" s="71"/>
      <c r="D27" s="90"/>
      <c r="E27" s="70"/>
      <c r="F27" s="91"/>
      <c r="G27" s="92"/>
    </row>
    <row r="28" spans="1:8" x14ac:dyDescent="0.15">
      <c r="A28" s="70"/>
      <c r="B28" s="71"/>
      <c r="C28" s="71"/>
      <c r="D28" s="90"/>
      <c r="E28" s="70"/>
      <c r="F28" s="91"/>
      <c r="G28" s="92"/>
    </row>
    <row r="29" spans="1:8" x14ac:dyDescent="0.15">
      <c r="A29" s="79" t="s">
        <v>3</v>
      </c>
      <c r="B29" s="71"/>
      <c r="C29" s="71">
        <f>SUM(C9+C11+C13+C17+C19+C21+C24)</f>
        <v>11307.689999999999</v>
      </c>
      <c r="D29" s="90"/>
      <c r="E29" s="70"/>
      <c r="F29" s="91"/>
      <c r="G29" s="92">
        <f>SUM(G9+G11+G13+G17+G19+G21+G22+G24)</f>
        <v>1503.21785481907</v>
      </c>
    </row>
    <row r="30" spans="1:8" x14ac:dyDescent="0.15">
      <c r="A30" s="70"/>
      <c r="B30" s="71"/>
      <c r="C30" s="71"/>
      <c r="D30" s="90"/>
      <c r="E30" s="70"/>
      <c r="F30" s="91"/>
      <c r="G30" s="92"/>
    </row>
    <row r="31" spans="1:8" x14ac:dyDescent="0.15">
      <c r="A31" s="70"/>
      <c r="B31" s="71"/>
      <c r="E31" s="70"/>
      <c r="F31" s="70"/>
      <c r="G31" s="73"/>
    </row>
    <row r="32" spans="1:8" x14ac:dyDescent="0.15">
      <c r="A32" s="79" t="s">
        <v>199</v>
      </c>
      <c r="B32" s="79"/>
      <c r="C32" s="79"/>
      <c r="D32" s="79"/>
      <c r="E32" s="79"/>
      <c r="F32" s="79"/>
      <c r="G32" s="79"/>
    </row>
    <row r="33" spans="1:7" x14ac:dyDescent="0.15">
      <c r="A33" s="70"/>
      <c r="B33" s="71"/>
      <c r="D33" s="90"/>
      <c r="E33" s="70"/>
      <c r="F33" s="91"/>
      <c r="G33" s="92"/>
    </row>
    <row r="34" spans="1:7" x14ac:dyDescent="0.15">
      <c r="A34" s="70"/>
      <c r="B34" s="71"/>
      <c r="C34" s="71"/>
      <c r="D34" s="90"/>
      <c r="E34" s="70"/>
      <c r="F34" s="91"/>
      <c r="G34" s="92"/>
    </row>
    <row r="35" spans="1:7" x14ac:dyDescent="0.15">
      <c r="A35" s="70" t="s">
        <v>311</v>
      </c>
      <c r="B35" s="70"/>
      <c r="C35" s="71"/>
      <c r="D35" s="90"/>
      <c r="E35" s="70"/>
      <c r="F35" s="70"/>
      <c r="G35" s="93">
        <f>VALUE(150*12)</f>
        <v>1800</v>
      </c>
    </row>
    <row r="36" spans="1:7" ht="16" x14ac:dyDescent="0.2">
      <c r="A36" s="70"/>
      <c r="B36" s="71"/>
      <c r="C36" s="71"/>
      <c r="D36" s="117"/>
      <c r="E36" s="70"/>
      <c r="F36" s="91"/>
      <c r="G36" s="92"/>
    </row>
    <row r="37" spans="1:7" x14ac:dyDescent="0.15">
      <c r="A37" s="86" t="s">
        <v>199</v>
      </c>
      <c r="B37" s="86"/>
      <c r="C37" s="86"/>
      <c r="D37" s="86"/>
      <c r="E37" s="86"/>
      <c r="F37" s="86"/>
      <c r="G37" s="86"/>
    </row>
    <row r="38" spans="1:7" x14ac:dyDescent="0.15">
      <c r="A38" s="79" t="s">
        <v>223</v>
      </c>
      <c r="B38" s="71"/>
      <c r="C38" s="71"/>
      <c r="D38" s="90"/>
      <c r="E38" s="70" t="s">
        <v>305</v>
      </c>
      <c r="F38" s="70"/>
      <c r="G38" s="97">
        <f>SUM(G35-G29)</f>
        <v>296.78214518093</v>
      </c>
    </row>
    <row r="39" spans="1:7" x14ac:dyDescent="0.15">
      <c r="A39" s="86"/>
      <c r="B39" s="87"/>
      <c r="C39" s="87"/>
      <c r="D39" s="88"/>
      <c r="E39" s="86"/>
      <c r="F39" s="86"/>
      <c r="G39" s="98"/>
    </row>
    <row r="40" spans="1:7" x14ac:dyDescent="0.15">
      <c r="A40" s="70"/>
      <c r="B40" s="71"/>
      <c r="E40" s="70"/>
      <c r="F40" s="70"/>
      <c r="G40" s="73"/>
    </row>
    <row r="41" spans="1:7" x14ac:dyDescent="0.15">
      <c r="A41" s="165"/>
      <c r="B41" s="165"/>
      <c r="C41" s="165"/>
      <c r="D41" s="165"/>
      <c r="E41" s="165"/>
      <c r="F41" s="165"/>
      <c r="G41" s="165"/>
    </row>
    <row r="42" spans="1:7" x14ac:dyDescent="0.15">
      <c r="A42" s="166"/>
      <c r="B42" s="166"/>
      <c r="C42" s="166"/>
      <c r="D42" s="166"/>
      <c r="E42" s="166"/>
      <c r="F42" s="166"/>
      <c r="G42" s="166"/>
    </row>
  </sheetData>
  <mergeCells count="5">
    <mergeCell ref="A1:G1"/>
    <mergeCell ref="A3:G3"/>
    <mergeCell ref="A4:E4"/>
    <mergeCell ref="A41:G41"/>
    <mergeCell ref="A42:G42"/>
  </mergeCells>
  <printOptions horizontalCentered="1" verticalCentered="1"/>
  <pageMargins left="0.2" right="0.2" top="0.2" bottom="0.2" header="0.2" footer="0.51"/>
  <pageSetup paperSize="9" scale="83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9A0C-C154-464A-8AAB-D5E2274134BC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23</vt:i4>
      </vt:variant>
      <vt:variant>
        <vt:lpstr>Benannte Bereiche</vt:lpstr>
      </vt:variant>
      <vt:variant>
        <vt:i4>14</vt:i4>
      </vt:variant>
    </vt:vector>
  </HeadingPairs>
  <TitlesOfParts>
    <vt:vector size="37" baseType="lpstr">
      <vt:lpstr>Heizkörperfaktoren</vt:lpstr>
      <vt:lpstr>Hauptabrechnung</vt:lpstr>
      <vt:lpstr>Zahlungen 2025</vt:lpstr>
      <vt:lpstr>Becker</vt:lpstr>
      <vt:lpstr>W107 Becker</vt:lpstr>
      <vt:lpstr>Ablesung Becker</vt:lpstr>
      <vt:lpstr>Drost</vt:lpstr>
      <vt:lpstr>W207 Drost</vt:lpstr>
      <vt:lpstr>Ablesung Drost</vt:lpstr>
      <vt:lpstr>Bernsee</vt:lpstr>
      <vt:lpstr>W307 Bernsee</vt:lpstr>
      <vt:lpstr>Ablesung Bernsee</vt:lpstr>
      <vt:lpstr>Ballestriero</vt:lpstr>
      <vt:lpstr>W407 Ballestriero</vt:lpstr>
      <vt:lpstr>Ablesung Ballestriero</vt:lpstr>
      <vt:lpstr>Weber</vt:lpstr>
      <vt:lpstr>W507 Weber</vt:lpstr>
      <vt:lpstr>Ablesung Weber</vt:lpstr>
      <vt:lpstr>Gneiting</vt:lpstr>
      <vt:lpstr>W607 Gneiting</vt:lpstr>
      <vt:lpstr>Ablesung Gneiting</vt:lpstr>
      <vt:lpstr>Weiß-Fudisch</vt:lpstr>
      <vt:lpstr>Tabelle1</vt:lpstr>
      <vt:lpstr>Ballestriero!Druckbereich</vt:lpstr>
      <vt:lpstr>Becker!Druckbereich</vt:lpstr>
      <vt:lpstr>Bernsee!Druckbereich</vt:lpstr>
      <vt:lpstr>Drost!Druckbereich</vt:lpstr>
      <vt:lpstr>Gneiting!Druckbereich</vt:lpstr>
      <vt:lpstr>Hauptabrechnung!Druckbereich</vt:lpstr>
      <vt:lpstr>'W107 Becker'!Druckbereich</vt:lpstr>
      <vt:lpstr>'W207 Drost'!Druckbereich</vt:lpstr>
      <vt:lpstr>'W307 Bernsee'!Druckbereich</vt:lpstr>
      <vt:lpstr>'W407 Ballestriero'!Druckbereich</vt:lpstr>
      <vt:lpstr>'W507 Weber'!Druckbereich</vt:lpstr>
      <vt:lpstr>'W607 Gneiting'!Druckbereich</vt:lpstr>
      <vt:lpstr>Weber!Druckbereich</vt:lpstr>
      <vt:lpstr>'Zahlungen 2025'!Druckbereich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Becker</dc:creator>
  <cp:keywords/>
  <dc:description/>
  <cp:lastModifiedBy>Tom Becker</cp:lastModifiedBy>
  <cp:lastPrinted>2026-04-07T08:47:52Z</cp:lastPrinted>
  <dcterms:created xsi:type="dcterms:W3CDTF">2012-10-01T18:45:48Z</dcterms:created>
  <dcterms:modified xsi:type="dcterms:W3CDTF">2026-04-07T09:19:27Z</dcterms:modified>
  <cp:category/>
</cp:coreProperties>
</file>